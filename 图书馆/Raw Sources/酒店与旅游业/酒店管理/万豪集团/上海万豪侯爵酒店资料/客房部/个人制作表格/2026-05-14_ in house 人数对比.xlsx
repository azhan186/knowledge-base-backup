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SHAMJFP1\GroupData\Housekeeping\Emma\12.客房部采购和盘点\2026年\"/>
    </mc:Choice>
  </mc:AlternateContent>
  <xr:revisionPtr revIDLastSave="0" documentId="13_ncr:1_{F32BC648-A4D1-48AC-8E76-84C295F9196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Kangatang" sheetId="4" state="veryHidden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9" i="1" l="1"/>
  <c r="C58" i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M67" i="1"/>
  <c r="L67" i="1"/>
  <c r="K67" i="1"/>
  <c r="J67" i="1"/>
  <c r="I67" i="1"/>
  <c r="H67" i="1"/>
  <c r="G67" i="1"/>
  <c r="F67" i="1"/>
  <c r="E67" i="1"/>
  <c r="D67" i="1"/>
  <c r="C67" i="1"/>
  <c r="B67" i="1"/>
  <c r="M66" i="1"/>
  <c r="L66" i="1"/>
  <c r="K66" i="1"/>
  <c r="J66" i="1"/>
  <c r="I66" i="1"/>
  <c r="H66" i="1"/>
  <c r="G66" i="1"/>
  <c r="F66" i="1"/>
  <c r="E66" i="1"/>
  <c r="D66" i="1"/>
  <c r="C66" i="1"/>
  <c r="B66" i="1"/>
  <c r="N65" i="1"/>
  <c r="N64" i="1"/>
  <c r="M62" i="1"/>
  <c r="L62" i="1"/>
  <c r="K62" i="1"/>
  <c r="J62" i="1"/>
  <c r="I62" i="1"/>
  <c r="H62" i="1"/>
  <c r="G62" i="1"/>
  <c r="F62" i="1"/>
  <c r="E62" i="1"/>
  <c r="D62" i="1"/>
  <c r="C62" i="1"/>
  <c r="B62" i="1"/>
  <c r="N61" i="1"/>
  <c r="N60" i="1"/>
  <c r="G52" i="1"/>
  <c r="F53" i="1"/>
  <c r="F52" i="1"/>
  <c r="N67" i="1" l="1"/>
  <c r="N62" i="1"/>
  <c r="N66" i="1"/>
  <c r="B52" i="1"/>
  <c r="N51" i="1" l="1"/>
  <c r="N50" i="1"/>
  <c r="N47" i="1"/>
  <c r="N46" i="1"/>
  <c r="N45" i="1"/>
  <c r="C52" i="1"/>
  <c r="D52" i="1"/>
  <c r="E52" i="1"/>
  <c r="H52" i="1"/>
  <c r="I52" i="1"/>
  <c r="J52" i="1"/>
  <c r="K52" i="1"/>
  <c r="L52" i="1"/>
  <c r="B53" i="1"/>
  <c r="C53" i="1"/>
  <c r="D53" i="1"/>
  <c r="E53" i="1"/>
  <c r="G53" i="1"/>
  <c r="H53" i="1"/>
  <c r="I53" i="1"/>
  <c r="J53" i="1"/>
  <c r="K53" i="1"/>
  <c r="L53" i="1"/>
  <c r="M53" i="1"/>
  <c r="M52" i="1"/>
  <c r="B48" i="1"/>
  <c r="C48" i="1"/>
  <c r="D48" i="1"/>
  <c r="E48" i="1"/>
  <c r="F48" i="1"/>
  <c r="G48" i="1"/>
  <c r="H48" i="1"/>
  <c r="I48" i="1"/>
  <c r="J48" i="1"/>
  <c r="K48" i="1"/>
  <c r="L48" i="1"/>
  <c r="M48" i="1"/>
  <c r="B38" i="1"/>
  <c r="C38" i="1"/>
  <c r="D38" i="1"/>
  <c r="E38" i="1"/>
  <c r="F38" i="1"/>
  <c r="G38" i="1"/>
  <c r="H38" i="1"/>
  <c r="I38" i="1"/>
  <c r="J38" i="1"/>
  <c r="K38" i="1"/>
  <c r="L38" i="1"/>
  <c r="B39" i="1"/>
  <c r="C39" i="1"/>
  <c r="D39" i="1"/>
  <c r="E39" i="1"/>
  <c r="F39" i="1"/>
  <c r="G39" i="1"/>
  <c r="H39" i="1"/>
  <c r="I39" i="1"/>
  <c r="J39" i="1"/>
  <c r="K39" i="1"/>
  <c r="L39" i="1"/>
  <c r="B34" i="1"/>
  <c r="C34" i="1"/>
  <c r="D34" i="1"/>
  <c r="E34" i="1"/>
  <c r="F34" i="1"/>
  <c r="G34" i="1"/>
  <c r="H34" i="1"/>
  <c r="I34" i="1"/>
  <c r="J34" i="1"/>
  <c r="K34" i="1"/>
  <c r="L34" i="1"/>
  <c r="N53" i="1" l="1"/>
  <c r="N52" i="1"/>
  <c r="N48" i="1"/>
  <c r="M38" i="1"/>
  <c r="M39" i="1"/>
  <c r="M34" i="1"/>
  <c r="N32" i="1" l="1"/>
  <c r="N33" i="1"/>
  <c r="N34" i="1"/>
  <c r="N36" i="1"/>
  <c r="N37" i="1"/>
  <c r="N38" i="1"/>
  <c r="N39" i="1"/>
  <c r="N31" i="1"/>
</calcChain>
</file>

<file path=xl/sharedStrings.xml><?xml version="1.0" encoding="utf-8"?>
<sst xmlns="http://schemas.openxmlformats.org/spreadsheetml/2006/main" count="61" uniqueCount="23">
  <si>
    <t>2022Y</t>
  </si>
  <si>
    <r>
      <t>%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Rooms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Occupied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minus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Comp</t>
    </r>
  </si>
  <si>
    <r>
      <t>Rooms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Occupied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minus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Comp</t>
    </r>
  </si>
  <si>
    <r>
      <t>Group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Rooms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In-House</t>
    </r>
  </si>
  <si>
    <r>
      <t>%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Group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Rooms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Occupied</t>
    </r>
  </si>
  <si>
    <r>
      <t>Total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In-House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Persons</t>
    </r>
  </si>
  <si>
    <r>
      <t>In-House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Children</t>
    </r>
  </si>
  <si>
    <r>
      <t>%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In-House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Persons</t>
    </r>
  </si>
  <si>
    <r>
      <t>%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In-House</t>
    </r>
    <r>
      <rPr>
        <sz val="11"/>
        <color indexed="8"/>
        <rFont val="等线"/>
        <family val="3"/>
        <charset val="134"/>
      </rPr>
      <t xml:space="preserve"> </t>
    </r>
    <r>
      <rPr>
        <sz val="11"/>
        <color indexed="8"/>
        <rFont val="等线"/>
        <family val="3"/>
        <charset val="134"/>
      </rPr>
      <t>Children</t>
    </r>
  </si>
  <si>
    <t>疫情封闭</t>
  </si>
  <si>
    <t>疫情开放</t>
  </si>
  <si>
    <t>2023Y</t>
  </si>
  <si>
    <t>过年</t>
  </si>
  <si>
    <t>2024Y</t>
  </si>
  <si>
    <t>暑假</t>
  </si>
  <si>
    <t>2025Y</t>
  </si>
  <si>
    <t>人房占比数</t>
  </si>
  <si>
    <t>房间数/人数</t>
  </si>
  <si>
    <t>五一/端午</t>
    <phoneticPr fontId="2" type="noConversion"/>
  </si>
  <si>
    <t>五一</t>
  </si>
  <si>
    <t>儿童占比数</t>
  </si>
  <si>
    <t>暑假</t>
    <phoneticPr fontId="2" type="noConversion"/>
  </si>
  <si>
    <t>2026Y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</si>
</sst>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7" x14ac:knownFonts="1">
    <font>
      <sz val="11"/>
      <color theme="1"/>
      <name val="宋体"/>
      <charset val="134"/>
      <scheme val="minor"/>
    </font>
    <font>
      <sz val="11"/>
      <color indexed="8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4"/>
      <color rgb="FF000000"/>
      <name val="等线"/>
      <family val="3"/>
      <charset val="134"/>
    </font>
    <font>
      <sz val="9"/>
      <name val="宋体"/>
      <family val="3"/>
      <charset val="134"/>
      <scheme val="minor"/>
    </font>
    <font>
      <sz val="10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1" xfId="0" applyNumberFormat="1" applyFont="1" applyBorder="1" applyAlignment="1">
      <alignment wrapText="1"/>
    </xf>
    <xf numFmtId="17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wrapText="1"/>
    </xf>
    <xf numFmtId="0" fontId="3" fillId="0" borderId="2" xfId="0" applyNumberFormat="1" applyFont="1" applyBorder="1" applyAlignment="1">
      <alignment wrapText="1"/>
    </xf>
    <xf numFmtId="0" fontId="3" fillId="0" borderId="3" xfId="0" applyNumberFormat="1" applyFont="1" applyBorder="1" applyAlignment="1">
      <alignment wrapText="1"/>
    </xf>
    <xf numFmtId="10" fontId="3" fillId="2" borderId="0" xfId="0" applyNumberFormat="1" applyFont="1" applyFill="1" applyAlignment="1">
      <alignment wrapText="1"/>
    </xf>
    <xf numFmtId="10" fontId="3" fillId="0" borderId="3" xfId="0" applyNumberFormat="1" applyFont="1" applyBorder="1" applyAlignment="1">
      <alignment wrapText="1"/>
    </xf>
    <xf numFmtId="0" fontId="3" fillId="2" borderId="0" xfId="0" applyNumberFormat="1" applyFont="1" applyFill="1" applyAlignment="1">
      <alignment wrapText="1"/>
    </xf>
    <xf numFmtId="0" fontId="3" fillId="0" borderId="4" xfId="0" applyNumberFormat="1" applyFont="1" applyBorder="1" applyAlignment="1">
      <alignment wrapText="1"/>
    </xf>
    <xf numFmtId="9" fontId="3" fillId="0" borderId="4" xfId="0" applyNumberFormat="1" applyFont="1" applyBorder="1" applyAlignment="1">
      <alignment wrapText="1"/>
    </xf>
    <xf numFmtId="1" fontId="3" fillId="0" borderId="4" xfId="0" applyNumberFormat="1" applyFont="1" applyBorder="1" applyAlignment="1">
      <alignment wrapText="1"/>
    </xf>
    <xf numFmtId="0" fontId="3" fillId="0" borderId="5" xfId="0" applyNumberFormat="1" applyFont="1" applyBorder="1" applyAlignment="1">
      <alignment wrapText="1"/>
    </xf>
    <xf numFmtId="176" fontId="3" fillId="0" borderId="4" xfId="0" applyNumberFormat="1" applyFont="1" applyBorder="1" applyAlignment="1">
      <alignment wrapText="1"/>
    </xf>
    <xf numFmtId="10" fontId="3" fillId="0" borderId="4" xfId="0" applyNumberFormat="1" applyFont="1" applyBorder="1" applyAlignment="1">
      <alignment wrapText="1"/>
    </xf>
    <xf numFmtId="0" fontId="3" fillId="2" borderId="3" xfId="0" applyNumberFormat="1" applyFont="1" applyFill="1" applyBorder="1" applyAlignment="1">
      <alignment wrapText="1"/>
    </xf>
    <xf numFmtId="0" fontId="6" fillId="2" borderId="3" xfId="0" applyNumberFormat="1" applyFont="1" applyFill="1" applyBorder="1" applyAlignment="1">
      <alignment wrapText="1"/>
    </xf>
    <xf numFmtId="0" fontId="3" fillId="0" borderId="0" xfId="0" applyNumberFormat="1" applyFont="1" applyFill="1" applyAlignment="1">
      <alignment wrapText="1"/>
    </xf>
    <xf numFmtId="10" fontId="3" fillId="0" borderId="0" xfId="0" applyNumberFormat="1" applyFont="1" applyFill="1" applyAlignment="1">
      <alignment wrapText="1"/>
    </xf>
    <xf numFmtId="0" fontId="6" fillId="0" borderId="3" xfId="0" applyNumberFormat="1" applyFont="1" applyFill="1" applyBorder="1" applyAlignment="1">
      <alignment wrapText="1"/>
    </xf>
    <xf numFmtId="0" fontId="3" fillId="0" borderId="3" xfId="0" applyNumberFormat="1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8"/>
  <sheetViews>
    <sheetView tabSelected="1" topLeftCell="A41" zoomScaleNormal="100" workbookViewId="0">
      <pane xSplit="1" topLeftCell="B1" activePane="topRight" state="frozen"/>
      <selection pane="topRight" activeCell="A57" sqref="A57:N68"/>
    </sheetView>
  </sheetViews>
  <sheetFormatPr defaultColWidth="8.625" defaultRowHeight="13.5" x14ac:dyDescent="0.15"/>
  <cols>
    <col min="1" max="1" width="31.75" bestFit="1" customWidth="1"/>
    <col min="2" max="10" width="8.625" customWidth="1"/>
    <col min="15" max="15" width="17.125" customWidth="1"/>
    <col min="16" max="16" width="21" customWidth="1"/>
  </cols>
  <sheetData>
    <row r="1" spans="1:15" ht="26.25" hidden="1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  <c r="O1" s="4"/>
    </row>
    <row r="2" spans="1:15" ht="14.25" hidden="1" x14ac:dyDescent="0.2">
      <c r="A2" s="1"/>
      <c r="B2" s="2">
        <v>44562</v>
      </c>
      <c r="C2" s="2">
        <v>44593</v>
      </c>
      <c r="D2" s="2">
        <v>44621</v>
      </c>
      <c r="E2" s="2">
        <v>44652</v>
      </c>
      <c r="F2" s="2">
        <v>44682</v>
      </c>
      <c r="G2" s="2">
        <v>44713</v>
      </c>
      <c r="H2" s="2">
        <v>44743</v>
      </c>
      <c r="I2" s="2">
        <v>44774</v>
      </c>
      <c r="J2" s="2">
        <v>44805</v>
      </c>
      <c r="K2" s="2">
        <v>44835</v>
      </c>
      <c r="L2" s="2">
        <v>44866</v>
      </c>
      <c r="M2" s="2">
        <v>44896</v>
      </c>
      <c r="N2" s="10"/>
      <c r="O2" s="4"/>
    </row>
    <row r="3" spans="1:15" ht="14.25" hidden="1" x14ac:dyDescent="0.2">
      <c r="A3" s="1" t="s">
        <v>1</v>
      </c>
      <c r="B3" s="3">
        <v>0.37919999999999998</v>
      </c>
      <c r="C3" s="3">
        <v>0.53439999999999999</v>
      </c>
      <c r="D3" s="3">
        <v>0.29020000000000001</v>
      </c>
      <c r="E3" s="3">
        <v>0.2341</v>
      </c>
      <c r="F3" s="3">
        <v>0.126</v>
      </c>
      <c r="G3" s="3">
        <v>0.17449999999999999</v>
      </c>
      <c r="H3" s="3">
        <v>0.2145</v>
      </c>
      <c r="I3" s="3">
        <v>0.43540000000000001</v>
      </c>
      <c r="J3" s="3">
        <v>0.57869999999999999</v>
      </c>
      <c r="K3" s="3">
        <v>0.46810000000000002</v>
      </c>
      <c r="L3" s="3">
        <v>0.48520000000000002</v>
      </c>
      <c r="M3" s="3">
        <v>0.40899999999999997</v>
      </c>
      <c r="N3" s="11">
        <v>0.36077500000000001</v>
      </c>
      <c r="O3" s="4"/>
    </row>
    <row r="4" spans="1:15" ht="14.25" hidden="1" x14ac:dyDescent="0.2">
      <c r="A4" s="1" t="s">
        <v>2</v>
      </c>
      <c r="B4" s="4">
        <v>6004</v>
      </c>
      <c r="C4" s="4">
        <v>7706</v>
      </c>
      <c r="D4" s="4">
        <v>4633</v>
      </c>
      <c r="E4" s="4">
        <v>3617</v>
      </c>
      <c r="F4" s="4">
        <v>2011</v>
      </c>
      <c r="G4" s="4">
        <v>2696</v>
      </c>
      <c r="H4" s="4">
        <v>3425</v>
      </c>
      <c r="I4" s="4">
        <v>6951</v>
      </c>
      <c r="J4" s="4">
        <v>8464</v>
      </c>
      <c r="K4" s="4">
        <v>7474</v>
      </c>
      <c r="L4" s="4">
        <v>7497</v>
      </c>
      <c r="M4" s="4">
        <v>6530</v>
      </c>
      <c r="N4" s="10">
        <v>5584</v>
      </c>
      <c r="O4" s="4"/>
    </row>
    <row r="5" spans="1:15" ht="14.25" hidden="1" x14ac:dyDescent="0.2">
      <c r="A5" s="1" t="s">
        <v>3</v>
      </c>
      <c r="B5" s="4">
        <v>447</v>
      </c>
      <c r="C5" s="4">
        <v>636</v>
      </c>
      <c r="D5" s="4">
        <v>78</v>
      </c>
      <c r="E5" s="4">
        <v>1159</v>
      </c>
      <c r="F5" s="4">
        <v>32</v>
      </c>
      <c r="G5" s="4">
        <v>10</v>
      </c>
      <c r="H5" s="4">
        <v>169</v>
      </c>
      <c r="I5" s="4">
        <v>814</v>
      </c>
      <c r="J5" s="4">
        <v>1040</v>
      </c>
      <c r="K5" s="4">
        <v>456</v>
      </c>
      <c r="L5" s="4">
        <v>836</v>
      </c>
      <c r="M5" s="4">
        <v>1232</v>
      </c>
      <c r="N5" s="12">
        <v>575.75</v>
      </c>
      <c r="O5" s="4"/>
    </row>
    <row r="6" spans="1:15" ht="14.25" hidden="1" x14ac:dyDescent="0.2">
      <c r="A6" s="1" t="s">
        <v>4</v>
      </c>
      <c r="B6" s="3">
        <v>7.4450366422385103E-2</v>
      </c>
      <c r="C6" s="3">
        <v>8.2533091097845804E-2</v>
      </c>
      <c r="D6" s="3">
        <v>1.6835743578674699E-2</v>
      </c>
      <c r="E6" s="3">
        <v>0.320431296654686</v>
      </c>
      <c r="F6" s="3">
        <v>1.59124813525609E-2</v>
      </c>
      <c r="G6" s="3">
        <v>3.70919881305638E-3</v>
      </c>
      <c r="H6" s="3">
        <v>4.93430656934307E-2</v>
      </c>
      <c r="I6" s="3">
        <v>0.11710545245288401</v>
      </c>
      <c r="J6" s="3">
        <v>0.122873345935728</v>
      </c>
      <c r="K6" s="3">
        <v>6.1011506556061003E-2</v>
      </c>
      <c r="L6" s="3">
        <v>0.111511271175137</v>
      </c>
      <c r="M6" s="3">
        <v>0.18866768759571201</v>
      </c>
      <c r="N6" s="11">
        <v>9.7032042277346797E-2</v>
      </c>
      <c r="O6" s="4"/>
    </row>
    <row r="7" spans="1:15" ht="14.25" hidden="1" x14ac:dyDescent="0.2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0"/>
      <c r="O7" s="4"/>
    </row>
    <row r="8" spans="1:15" ht="14.25" hidden="1" x14ac:dyDescent="0.2">
      <c r="A8" s="1" t="s">
        <v>5</v>
      </c>
      <c r="B8" s="4">
        <v>9663</v>
      </c>
      <c r="C8" s="4">
        <v>12678</v>
      </c>
      <c r="D8" s="4">
        <v>8520</v>
      </c>
      <c r="E8" s="4">
        <v>10593</v>
      </c>
      <c r="F8" s="4">
        <v>9215</v>
      </c>
      <c r="G8" s="4">
        <v>5086</v>
      </c>
      <c r="H8" s="4">
        <v>5906</v>
      </c>
      <c r="I8" s="4">
        <v>11318</v>
      </c>
      <c r="J8" s="4">
        <v>12487</v>
      </c>
      <c r="K8" s="4">
        <v>11945</v>
      </c>
      <c r="L8" s="4">
        <v>10325</v>
      </c>
      <c r="M8" s="4">
        <v>10488</v>
      </c>
      <c r="N8" s="10">
        <v>9852</v>
      </c>
      <c r="O8" s="4"/>
    </row>
    <row r="9" spans="1:15" ht="14.25" hidden="1" x14ac:dyDescent="0.2">
      <c r="A9" s="1" t="s">
        <v>6</v>
      </c>
      <c r="B9" s="4">
        <v>367</v>
      </c>
      <c r="C9" s="4">
        <v>659</v>
      </c>
      <c r="D9" s="4">
        <v>117</v>
      </c>
      <c r="E9" s="4">
        <v>108</v>
      </c>
      <c r="F9" s="4">
        <v>146</v>
      </c>
      <c r="G9" s="4">
        <v>259</v>
      </c>
      <c r="H9" s="4">
        <v>492</v>
      </c>
      <c r="I9" s="4">
        <v>669</v>
      </c>
      <c r="J9" s="4">
        <v>349</v>
      </c>
      <c r="K9" s="4">
        <v>499</v>
      </c>
      <c r="L9" s="4">
        <v>187</v>
      </c>
      <c r="M9" s="4">
        <v>268</v>
      </c>
      <c r="N9" s="12">
        <v>343.33333333333297</v>
      </c>
      <c r="O9" s="4"/>
    </row>
    <row r="10" spans="1:15" ht="14.25" hidden="1" x14ac:dyDescent="0.2">
      <c r="A10" s="1" t="s">
        <v>7</v>
      </c>
      <c r="B10" s="3">
        <v>1.6094270486342399</v>
      </c>
      <c r="C10" s="3">
        <v>1.6452115234881901</v>
      </c>
      <c r="D10" s="3">
        <v>1.8389812216706201</v>
      </c>
      <c r="E10" s="3">
        <v>2.9286701686480501</v>
      </c>
      <c r="F10" s="3">
        <v>4.5822973644952798</v>
      </c>
      <c r="G10" s="7">
        <v>1.8864985163204699</v>
      </c>
      <c r="H10" s="7">
        <v>1.7243795620438001</v>
      </c>
      <c r="I10" s="7">
        <v>1.62825492734858</v>
      </c>
      <c r="J10" s="3">
        <v>1.4753071833648399</v>
      </c>
      <c r="K10" s="7">
        <v>1.5982071180091</v>
      </c>
      <c r="L10" s="3">
        <v>1.3772175536881399</v>
      </c>
      <c r="M10" s="7">
        <v>1.60612557427259</v>
      </c>
      <c r="N10" s="11">
        <v>1.99171481349866</v>
      </c>
      <c r="O10" s="4"/>
    </row>
    <row r="11" spans="1:15" ht="14.25" hidden="1" x14ac:dyDescent="0.2">
      <c r="A11" s="1" t="s">
        <v>8</v>
      </c>
      <c r="B11" s="3">
        <v>6.1125916055962702E-2</v>
      </c>
      <c r="C11" s="3">
        <v>8.5517778354528895E-2</v>
      </c>
      <c r="D11" s="3">
        <v>2.52536153680121E-2</v>
      </c>
      <c r="E11" s="3">
        <v>2.9858999170583399E-2</v>
      </c>
      <c r="F11" s="3">
        <v>7.2600696171059201E-2</v>
      </c>
      <c r="G11" s="7">
        <v>9.6068249258160196E-2</v>
      </c>
      <c r="H11" s="7">
        <v>0.143649635036496</v>
      </c>
      <c r="I11" s="7">
        <v>9.6245144583513201E-2</v>
      </c>
      <c r="J11" s="3">
        <v>4.1233459357277902E-2</v>
      </c>
      <c r="K11" s="3">
        <v>6.6764784586566803E-2</v>
      </c>
      <c r="L11" s="3">
        <v>2.4943310657596401E-2</v>
      </c>
      <c r="M11" s="3">
        <v>4.104134762634E-2</v>
      </c>
      <c r="N11" s="11">
        <v>6.5358578018841401E-2</v>
      </c>
      <c r="O11" s="4"/>
    </row>
    <row r="12" spans="1:15" ht="14.25" hidden="1" x14ac:dyDescent="0.2">
      <c r="A12" s="5"/>
      <c r="B12" s="6"/>
      <c r="C12" s="6"/>
      <c r="D12" s="6" t="s">
        <v>9</v>
      </c>
      <c r="E12" s="6"/>
      <c r="F12" s="6"/>
      <c r="G12" s="6" t="s">
        <v>10</v>
      </c>
      <c r="H12" s="6"/>
      <c r="I12" s="6"/>
      <c r="J12" s="6"/>
      <c r="K12" s="6"/>
      <c r="L12" s="6"/>
      <c r="M12" s="6"/>
      <c r="N12" s="13"/>
      <c r="O12" s="4"/>
    </row>
    <row r="13" spans="1:15" ht="14.25" hidden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" hidden="1" thickBo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6.25" hidden="1" customHeight="1" x14ac:dyDescent="0.2">
      <c r="A15" s="23" t="s">
        <v>11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  <c r="O15" s="4"/>
    </row>
    <row r="16" spans="1:15" ht="14.25" hidden="1" x14ac:dyDescent="0.2">
      <c r="A16" s="1"/>
      <c r="B16" s="2">
        <v>44927</v>
      </c>
      <c r="C16" s="2">
        <v>44958</v>
      </c>
      <c r="D16" s="2">
        <v>44986</v>
      </c>
      <c r="E16" s="2">
        <v>45017</v>
      </c>
      <c r="F16" s="2">
        <v>45047</v>
      </c>
      <c r="G16" s="2">
        <v>45078</v>
      </c>
      <c r="H16" s="2">
        <v>45108</v>
      </c>
      <c r="I16" s="2">
        <v>45139</v>
      </c>
      <c r="J16" s="2">
        <v>45170</v>
      </c>
      <c r="K16" s="2">
        <v>45200</v>
      </c>
      <c r="L16" s="2">
        <v>45231</v>
      </c>
      <c r="M16" s="2">
        <v>45261</v>
      </c>
      <c r="N16" s="10"/>
      <c r="O16" s="4"/>
    </row>
    <row r="17" spans="1:15" ht="14.25" hidden="1" x14ac:dyDescent="0.2">
      <c r="A17" s="1" t="s">
        <v>1</v>
      </c>
      <c r="B17" s="3">
        <v>0.44740000000000002</v>
      </c>
      <c r="C17" s="3">
        <v>0.61509999999999998</v>
      </c>
      <c r="D17" s="3">
        <v>0.69210000000000005</v>
      </c>
      <c r="E17" s="3">
        <v>0.74039999999999995</v>
      </c>
      <c r="F17" s="3">
        <v>0.66679999999999995</v>
      </c>
      <c r="G17" s="3">
        <v>0.65939999999999999</v>
      </c>
      <c r="H17" s="3">
        <v>0.68430000000000002</v>
      </c>
      <c r="I17" s="3">
        <v>0.61550000000000005</v>
      </c>
      <c r="J17" s="3">
        <v>0.59299999999999997</v>
      </c>
      <c r="K17" s="3">
        <v>0.66439999999999999</v>
      </c>
      <c r="L17" s="3">
        <v>0.71560000000000001</v>
      </c>
      <c r="M17" s="3">
        <v>0.63180000000000003</v>
      </c>
      <c r="N17" s="11">
        <v>0.64381666666666704</v>
      </c>
      <c r="O17" s="4"/>
    </row>
    <row r="18" spans="1:15" ht="14.25" hidden="1" x14ac:dyDescent="0.2">
      <c r="A18" s="1" t="s">
        <v>2</v>
      </c>
      <c r="B18" s="4">
        <v>7143</v>
      </c>
      <c r="C18" s="4">
        <v>8870</v>
      </c>
      <c r="D18" s="4">
        <v>11049</v>
      </c>
      <c r="E18" s="4">
        <v>11439</v>
      </c>
      <c r="F18" s="4">
        <v>10770</v>
      </c>
      <c r="G18" s="4">
        <v>10311</v>
      </c>
      <c r="H18" s="4">
        <v>11033</v>
      </c>
      <c r="I18" s="4">
        <v>9926</v>
      </c>
      <c r="J18" s="4">
        <v>9281</v>
      </c>
      <c r="K18" s="4">
        <v>10587</v>
      </c>
      <c r="L18" s="4">
        <v>11035</v>
      </c>
      <c r="M18" s="4">
        <v>10067</v>
      </c>
      <c r="N18" s="12">
        <v>10125.916666666701</v>
      </c>
      <c r="O18" s="4"/>
    </row>
    <row r="19" spans="1:15" ht="14.25" hidden="1" x14ac:dyDescent="0.2">
      <c r="A19" s="1" t="s">
        <v>3</v>
      </c>
      <c r="B19" s="4">
        <v>892</v>
      </c>
      <c r="C19" s="4">
        <v>1354</v>
      </c>
      <c r="D19" s="4">
        <v>2380</v>
      </c>
      <c r="E19" s="4">
        <v>3638</v>
      </c>
      <c r="F19" s="4">
        <v>2041</v>
      </c>
      <c r="G19" s="4">
        <v>1590</v>
      </c>
      <c r="H19" s="4">
        <v>1619</v>
      </c>
      <c r="I19" s="4">
        <v>985</v>
      </c>
      <c r="J19" s="4">
        <v>769</v>
      </c>
      <c r="K19" s="4">
        <v>689</v>
      </c>
      <c r="L19" s="4">
        <v>1241</v>
      </c>
      <c r="M19" s="4">
        <v>848</v>
      </c>
      <c r="N19" s="12">
        <v>1503.8333333333301</v>
      </c>
      <c r="O19" s="4"/>
    </row>
    <row r="20" spans="1:15" ht="14.25" hidden="1" x14ac:dyDescent="0.2">
      <c r="A20" s="1" t="s">
        <v>4</v>
      </c>
      <c r="B20" s="3">
        <v>0.12487750244995099</v>
      </c>
      <c r="C20" s="3">
        <v>0.152649379932356</v>
      </c>
      <c r="D20" s="3">
        <v>0.215404108969137</v>
      </c>
      <c r="E20" s="3">
        <v>0.31803479325115802</v>
      </c>
      <c r="F20" s="3">
        <v>0.189507892293408</v>
      </c>
      <c r="G20" s="3">
        <v>0.154204247890602</v>
      </c>
      <c r="H20" s="3">
        <v>0.146741593401613</v>
      </c>
      <c r="I20" s="3">
        <v>9.9234334072133806E-2</v>
      </c>
      <c r="J20" s="3">
        <v>8.2857450705742894E-2</v>
      </c>
      <c r="K20" s="3">
        <v>6.5079814867290101E-2</v>
      </c>
      <c r="L20" s="3">
        <v>0.112460353420933</v>
      </c>
      <c r="M20" s="3">
        <v>8.4235621337041794E-2</v>
      </c>
      <c r="N20" s="11">
        <v>0.145440591049281</v>
      </c>
      <c r="O20" s="4"/>
    </row>
    <row r="21" spans="1:15" ht="14.25" hidden="1" x14ac:dyDescent="0.2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0"/>
      <c r="O21" s="4"/>
    </row>
    <row r="22" spans="1:15" ht="14.25" hidden="1" x14ac:dyDescent="0.2">
      <c r="A22" s="1" t="s">
        <v>5</v>
      </c>
      <c r="B22" s="4">
        <v>12511</v>
      </c>
      <c r="C22" s="4">
        <v>13172</v>
      </c>
      <c r="D22" s="4">
        <v>15426</v>
      </c>
      <c r="E22" s="4">
        <v>16277</v>
      </c>
      <c r="F22" s="4">
        <v>14971</v>
      </c>
      <c r="G22" s="4">
        <v>14410</v>
      </c>
      <c r="H22" s="4">
        <v>15932</v>
      </c>
      <c r="I22" s="4">
        <v>15077</v>
      </c>
      <c r="J22" s="4">
        <v>13549</v>
      </c>
      <c r="K22" s="4">
        <v>15023</v>
      </c>
      <c r="L22" s="4">
        <v>15085</v>
      </c>
      <c r="M22" s="4">
        <v>15495</v>
      </c>
      <c r="N22" s="10">
        <v>14744</v>
      </c>
      <c r="O22" s="4"/>
    </row>
    <row r="23" spans="1:15" ht="14.25" hidden="1" x14ac:dyDescent="0.2">
      <c r="A23" s="1" t="s">
        <v>6</v>
      </c>
      <c r="B23" s="4">
        <v>1004</v>
      </c>
      <c r="C23" s="4">
        <v>324</v>
      </c>
      <c r="D23" s="4">
        <v>210</v>
      </c>
      <c r="E23" s="4">
        <v>371</v>
      </c>
      <c r="F23" s="4">
        <v>130</v>
      </c>
      <c r="G23" s="4">
        <v>110</v>
      </c>
      <c r="H23" s="4">
        <v>216</v>
      </c>
      <c r="I23" s="4">
        <v>242</v>
      </c>
      <c r="J23" s="9">
        <v>84</v>
      </c>
      <c r="K23" s="4">
        <v>217</v>
      </c>
      <c r="L23" s="4">
        <v>56</v>
      </c>
      <c r="M23" s="4">
        <v>144</v>
      </c>
      <c r="N23" s="10">
        <v>259</v>
      </c>
      <c r="O23" s="4"/>
    </row>
    <row r="24" spans="1:15" ht="14.25" hidden="1" x14ac:dyDescent="0.2">
      <c r="A24" s="1" t="s">
        <v>7</v>
      </c>
      <c r="B24" s="7">
        <v>1.7515049699006</v>
      </c>
      <c r="C24" s="3">
        <v>1.48500563697858</v>
      </c>
      <c r="D24" s="3">
        <v>1.3961444474613101</v>
      </c>
      <c r="E24" s="3">
        <v>1.42293906810036</v>
      </c>
      <c r="F24" s="3">
        <v>1.39006499535747</v>
      </c>
      <c r="G24" s="3">
        <v>1.3975366113859</v>
      </c>
      <c r="H24" s="3">
        <v>1.44403154173842</v>
      </c>
      <c r="I24" s="3">
        <v>1.5189401571630099</v>
      </c>
      <c r="J24" s="3">
        <v>1.4598642387673699</v>
      </c>
      <c r="K24" s="3">
        <v>1.41900443940682</v>
      </c>
      <c r="L24" s="3">
        <v>1.3670140462165801</v>
      </c>
      <c r="M24" s="3">
        <v>1.53918744412437</v>
      </c>
      <c r="N24" s="11">
        <v>1.4659364663834</v>
      </c>
      <c r="O24" s="4"/>
    </row>
    <row r="25" spans="1:15" ht="14.25" hidden="1" x14ac:dyDescent="0.2">
      <c r="A25" s="1" t="s">
        <v>8</v>
      </c>
      <c r="B25" s="7">
        <v>0.14055718885622301</v>
      </c>
      <c r="C25" s="3">
        <v>3.6527621195039502E-2</v>
      </c>
      <c r="D25" s="3">
        <v>1.90062449090415E-2</v>
      </c>
      <c r="E25" s="3">
        <v>3.2432904974211002E-2</v>
      </c>
      <c r="F25" s="3">
        <v>1.20705663881151E-2</v>
      </c>
      <c r="G25" s="3">
        <v>1.06682184075259E-2</v>
      </c>
      <c r="H25" s="3">
        <v>1.95776307441312E-2</v>
      </c>
      <c r="I25" s="3">
        <v>2.4380415071529299E-2</v>
      </c>
      <c r="J25" s="3">
        <v>9.0507488417196393E-3</v>
      </c>
      <c r="K25" s="3">
        <v>2.0496835741947699E-2</v>
      </c>
      <c r="L25" s="3">
        <v>5.0747621205255999E-3</v>
      </c>
      <c r="M25" s="3">
        <v>1.4304162113837299E-2</v>
      </c>
      <c r="N25" s="11">
        <v>2.8678941613653901E-2</v>
      </c>
      <c r="O25" s="4"/>
    </row>
    <row r="26" spans="1:15" ht="14.25" hidden="1" x14ac:dyDescent="0.2">
      <c r="A26" s="5"/>
      <c r="B26" s="6" t="s">
        <v>12</v>
      </c>
      <c r="C26" s="6"/>
      <c r="D26" s="8"/>
      <c r="E26" s="6"/>
      <c r="F26" s="6"/>
      <c r="G26" s="6"/>
      <c r="H26" s="6"/>
      <c r="I26" s="6"/>
      <c r="J26" s="6"/>
      <c r="K26" s="6"/>
      <c r="L26" s="6"/>
      <c r="M26" s="6"/>
      <c r="N26" s="13"/>
      <c r="O26" s="4"/>
    </row>
    <row r="27" spans="1:15" ht="14.25" hidden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5" hidden="1" thickBo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26.25" customHeight="1" x14ac:dyDescent="0.2">
      <c r="A29" s="23" t="s">
        <v>13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5"/>
      <c r="O29" s="4"/>
    </row>
    <row r="30" spans="1:15" ht="14.25" x14ac:dyDescent="0.2">
      <c r="A30" s="1"/>
      <c r="B30" s="2">
        <v>45292</v>
      </c>
      <c r="C30" s="2">
        <v>45323</v>
      </c>
      <c r="D30" s="2">
        <v>45352</v>
      </c>
      <c r="E30" s="2">
        <v>45383</v>
      </c>
      <c r="F30" s="2">
        <v>45413</v>
      </c>
      <c r="G30" s="2">
        <v>45444</v>
      </c>
      <c r="H30" s="2">
        <v>45474</v>
      </c>
      <c r="I30" s="2">
        <v>45505</v>
      </c>
      <c r="J30" s="2">
        <v>45536</v>
      </c>
      <c r="K30" s="2">
        <v>45566</v>
      </c>
      <c r="L30" s="2">
        <v>45597</v>
      </c>
      <c r="M30" s="2">
        <v>45627</v>
      </c>
      <c r="N30" s="10"/>
      <c r="O30" s="4"/>
    </row>
    <row r="31" spans="1:15" ht="14.25" x14ac:dyDescent="0.2">
      <c r="A31" s="1" t="s">
        <v>1</v>
      </c>
      <c r="B31" s="3">
        <v>0.67910000000000004</v>
      </c>
      <c r="C31" s="3">
        <v>0.53879999999999995</v>
      </c>
      <c r="D31" s="3">
        <v>0.77010000000000001</v>
      </c>
      <c r="E31" s="3">
        <v>0.75509999999999999</v>
      </c>
      <c r="F31" s="3">
        <v>0.749</v>
      </c>
      <c r="G31" s="3">
        <v>0.76170000000000004</v>
      </c>
      <c r="H31" s="3">
        <v>0.77459999999999996</v>
      </c>
      <c r="I31" s="3">
        <v>0.71850000000000003</v>
      </c>
      <c r="J31" s="3">
        <v>0.67969999999999997</v>
      </c>
      <c r="K31" s="3">
        <v>0.73819999999999997</v>
      </c>
      <c r="L31" s="3">
        <v>0.75970000000000004</v>
      </c>
      <c r="M31" s="3">
        <v>0.67800000000000005</v>
      </c>
      <c r="N31" s="15">
        <f>SUM(B31:M31)/COUNTA(B31:M31)</f>
        <v>0.71687499999999993</v>
      </c>
      <c r="O31" s="4"/>
    </row>
    <row r="32" spans="1:15" ht="14.25" x14ac:dyDescent="0.2">
      <c r="A32" s="1" t="s">
        <v>2</v>
      </c>
      <c r="B32" s="4">
        <v>10820</v>
      </c>
      <c r="C32" s="4">
        <v>8032</v>
      </c>
      <c r="D32" s="4">
        <v>12270</v>
      </c>
      <c r="E32" s="4">
        <v>11643</v>
      </c>
      <c r="F32" s="4">
        <v>11934</v>
      </c>
      <c r="G32" s="4">
        <v>11764</v>
      </c>
      <c r="H32" s="4">
        <v>12342</v>
      </c>
      <c r="I32" s="4">
        <v>11449</v>
      </c>
      <c r="J32" s="4">
        <v>10481</v>
      </c>
      <c r="K32" s="4">
        <v>11763</v>
      </c>
      <c r="L32" s="4">
        <v>11715</v>
      </c>
      <c r="M32" s="4">
        <v>10803</v>
      </c>
      <c r="N32" s="14">
        <f t="shared" ref="N32:N39" si="0">SUM(B32:M32)/COUNTA(B32:M32)</f>
        <v>11251.333333333334</v>
      </c>
      <c r="O32" s="4"/>
    </row>
    <row r="33" spans="1:15" ht="14.25" x14ac:dyDescent="0.2">
      <c r="A33" s="1" t="s">
        <v>3</v>
      </c>
      <c r="B33" s="4">
        <v>2592</v>
      </c>
      <c r="C33" s="4">
        <v>295</v>
      </c>
      <c r="D33" s="4">
        <v>991</v>
      </c>
      <c r="E33" s="4">
        <v>790</v>
      </c>
      <c r="F33" s="4">
        <v>2172</v>
      </c>
      <c r="G33" s="4">
        <v>1678</v>
      </c>
      <c r="H33" s="4">
        <v>1841</v>
      </c>
      <c r="I33" s="4">
        <v>1741</v>
      </c>
      <c r="J33" s="4">
        <v>1915</v>
      </c>
      <c r="K33" s="4">
        <v>1484</v>
      </c>
      <c r="L33" s="4">
        <v>2383</v>
      </c>
      <c r="M33" s="4">
        <v>1601</v>
      </c>
      <c r="N33" s="14">
        <f t="shared" si="0"/>
        <v>1623.5833333333333</v>
      </c>
      <c r="O33" s="4"/>
    </row>
    <row r="34" spans="1:15" ht="14.25" x14ac:dyDescent="0.2">
      <c r="A34" s="1" t="s">
        <v>4</v>
      </c>
      <c r="B34" s="3">
        <f t="shared" ref="B34:L34" si="1">B33/B32</f>
        <v>0.23955637707948244</v>
      </c>
      <c r="C34" s="3">
        <f t="shared" si="1"/>
        <v>3.6728087649402393E-2</v>
      </c>
      <c r="D34" s="3">
        <f t="shared" si="1"/>
        <v>8.0766096169519158E-2</v>
      </c>
      <c r="E34" s="3">
        <f t="shared" si="1"/>
        <v>6.785192819720004E-2</v>
      </c>
      <c r="F34" s="3">
        <f t="shared" si="1"/>
        <v>0.18200100553041729</v>
      </c>
      <c r="G34" s="3">
        <f t="shared" si="1"/>
        <v>0.14263855831349881</v>
      </c>
      <c r="H34" s="3">
        <f t="shared" si="1"/>
        <v>0.14916545130448874</v>
      </c>
      <c r="I34" s="3">
        <f t="shared" si="1"/>
        <v>0.15206568259236614</v>
      </c>
      <c r="J34" s="3">
        <f t="shared" si="1"/>
        <v>0.18271157332315618</v>
      </c>
      <c r="K34" s="3">
        <f t="shared" si="1"/>
        <v>0.1261582929524781</v>
      </c>
      <c r="L34" s="3">
        <f t="shared" si="1"/>
        <v>0.20341442594963721</v>
      </c>
      <c r="M34" s="3">
        <f>M33/M32</f>
        <v>0.14819957419235397</v>
      </c>
      <c r="N34" s="15">
        <f t="shared" si="0"/>
        <v>0.14260475443783338</v>
      </c>
      <c r="O34" s="4"/>
    </row>
    <row r="35" spans="1:15" ht="14.25" x14ac:dyDescent="0.2">
      <c r="A35" s="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11"/>
      <c r="O35" s="4"/>
    </row>
    <row r="36" spans="1:15" ht="14.25" x14ac:dyDescent="0.2">
      <c r="A36" s="1" t="s">
        <v>5</v>
      </c>
      <c r="B36" s="4">
        <v>15874</v>
      </c>
      <c r="C36" s="9">
        <v>13532</v>
      </c>
      <c r="D36" s="4">
        <v>17189</v>
      </c>
      <c r="E36" s="4">
        <v>16664</v>
      </c>
      <c r="F36" s="4">
        <v>16948</v>
      </c>
      <c r="G36" s="4">
        <v>16675</v>
      </c>
      <c r="H36" s="9">
        <v>18028</v>
      </c>
      <c r="I36" s="4">
        <v>17480</v>
      </c>
      <c r="J36" s="4">
        <v>14099</v>
      </c>
      <c r="K36" s="4">
        <v>16297</v>
      </c>
      <c r="L36" s="4">
        <v>15931</v>
      </c>
      <c r="M36" s="4">
        <v>16385</v>
      </c>
      <c r="N36" s="14">
        <f t="shared" si="0"/>
        <v>16258.5</v>
      </c>
      <c r="O36" s="4"/>
    </row>
    <row r="37" spans="1:15" ht="14.25" x14ac:dyDescent="0.2">
      <c r="A37" s="1" t="s">
        <v>6</v>
      </c>
      <c r="B37" s="4">
        <v>94</v>
      </c>
      <c r="C37" s="9">
        <v>229</v>
      </c>
      <c r="D37" s="4">
        <v>70</v>
      </c>
      <c r="E37" s="4">
        <v>170</v>
      </c>
      <c r="F37" s="4">
        <v>165</v>
      </c>
      <c r="G37" s="4">
        <v>199</v>
      </c>
      <c r="H37" s="9">
        <v>195</v>
      </c>
      <c r="I37" s="4">
        <v>273</v>
      </c>
      <c r="J37" s="4">
        <v>29</v>
      </c>
      <c r="K37" s="4">
        <v>85</v>
      </c>
      <c r="L37" s="4">
        <v>37</v>
      </c>
      <c r="M37" s="4">
        <v>129</v>
      </c>
      <c r="N37" s="14">
        <f t="shared" si="0"/>
        <v>139.58333333333334</v>
      </c>
      <c r="O37" s="4"/>
    </row>
    <row r="38" spans="1:15" ht="14.25" x14ac:dyDescent="0.2">
      <c r="A38" s="1" t="s">
        <v>7</v>
      </c>
      <c r="B38" s="3">
        <f t="shared" ref="B38:L38" si="2">B36/B32</f>
        <v>1.4670979667282809</v>
      </c>
      <c r="C38" s="7">
        <f t="shared" si="2"/>
        <v>1.6847609561752988</v>
      </c>
      <c r="D38" s="3">
        <f t="shared" si="2"/>
        <v>1.4008964955175225</v>
      </c>
      <c r="E38" s="3">
        <f t="shared" si="2"/>
        <v>1.4312462423773942</v>
      </c>
      <c r="F38" s="3">
        <f t="shared" si="2"/>
        <v>1.4201441260264789</v>
      </c>
      <c r="G38" s="3">
        <f t="shared" si="2"/>
        <v>1.4174600476028563</v>
      </c>
      <c r="H38" s="7">
        <f t="shared" si="2"/>
        <v>1.4607032895802949</v>
      </c>
      <c r="I38" s="3">
        <f t="shared" si="2"/>
        <v>1.5267708970215739</v>
      </c>
      <c r="J38" s="3">
        <f t="shared" si="2"/>
        <v>1.3451960690773781</v>
      </c>
      <c r="K38" s="3">
        <f t="shared" si="2"/>
        <v>1.3854458896539998</v>
      </c>
      <c r="L38" s="3">
        <f t="shared" si="2"/>
        <v>1.3598804950917627</v>
      </c>
      <c r="M38" s="3">
        <f>M36/M32</f>
        <v>1.5167083217624733</v>
      </c>
      <c r="N38" s="15">
        <f t="shared" si="0"/>
        <v>1.4513592330512761</v>
      </c>
      <c r="O38" s="4"/>
    </row>
    <row r="39" spans="1:15" ht="14.25" x14ac:dyDescent="0.2">
      <c r="A39" s="1" t="s">
        <v>8</v>
      </c>
      <c r="B39" s="3">
        <f t="shared" ref="B39:L39" si="3">B37/B36</f>
        <v>5.9216328587627567E-3</v>
      </c>
      <c r="C39" s="7">
        <f t="shared" si="3"/>
        <v>1.6922849541826782E-2</v>
      </c>
      <c r="D39" s="3">
        <f t="shared" si="3"/>
        <v>4.0723718657280821E-3</v>
      </c>
      <c r="E39" s="3">
        <f t="shared" si="3"/>
        <v>1.0201632261161785E-2</v>
      </c>
      <c r="F39" s="3">
        <f t="shared" si="3"/>
        <v>9.7356620250177005E-3</v>
      </c>
      <c r="G39" s="3">
        <f t="shared" si="3"/>
        <v>1.1934032983508246E-2</v>
      </c>
      <c r="H39" s="7">
        <f t="shared" si="3"/>
        <v>1.0816507654759264E-2</v>
      </c>
      <c r="I39" s="3">
        <f t="shared" si="3"/>
        <v>1.5617848970251716E-2</v>
      </c>
      <c r="J39" s="3">
        <f t="shared" si="3"/>
        <v>2.0568834669125471E-3</v>
      </c>
      <c r="K39" s="3">
        <f t="shared" si="3"/>
        <v>5.215683868196601E-3</v>
      </c>
      <c r="L39" s="3">
        <f t="shared" si="3"/>
        <v>2.322515849601406E-3</v>
      </c>
      <c r="M39" s="3">
        <f>M37/M36</f>
        <v>7.8730546231309123E-3</v>
      </c>
      <c r="N39" s="15">
        <f t="shared" si="0"/>
        <v>8.5575563307381496E-3</v>
      </c>
      <c r="O39" s="4"/>
    </row>
    <row r="40" spans="1:15" ht="14.25" x14ac:dyDescent="0.2">
      <c r="A40" s="5"/>
      <c r="B40" s="6"/>
      <c r="C40" s="16" t="s">
        <v>12</v>
      </c>
      <c r="D40" s="6"/>
      <c r="E40" s="6"/>
      <c r="F40" s="16" t="s">
        <v>19</v>
      </c>
      <c r="G40" s="6"/>
      <c r="H40" s="16" t="s">
        <v>14</v>
      </c>
      <c r="I40" s="16"/>
      <c r="J40" s="6"/>
      <c r="K40" s="6"/>
      <c r="L40" s="6"/>
      <c r="M40" s="6"/>
      <c r="N40" s="13"/>
      <c r="O40" s="4"/>
    </row>
    <row r="42" spans="1:15" ht="14.25" thickBot="1" x14ac:dyDescent="0.2"/>
    <row r="43" spans="1:15" ht="26.25" customHeight="1" x14ac:dyDescent="0.2">
      <c r="A43" s="23" t="s">
        <v>15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5"/>
      <c r="O43" s="4"/>
    </row>
    <row r="44" spans="1:15" ht="14.25" x14ac:dyDescent="0.2">
      <c r="A44" s="1"/>
      <c r="B44" s="2">
        <v>45658</v>
      </c>
      <c r="C44" s="2">
        <v>45689</v>
      </c>
      <c r="D44" s="2">
        <v>45717</v>
      </c>
      <c r="E44" s="2">
        <v>45748</v>
      </c>
      <c r="F44" s="2">
        <v>45778</v>
      </c>
      <c r="G44" s="2">
        <v>45809</v>
      </c>
      <c r="H44" s="2">
        <v>45839</v>
      </c>
      <c r="I44" s="2">
        <v>45870</v>
      </c>
      <c r="J44" s="2">
        <v>45901</v>
      </c>
      <c r="K44" s="2">
        <v>45931</v>
      </c>
      <c r="L44" s="2">
        <v>45962</v>
      </c>
      <c r="M44" s="2">
        <v>45992</v>
      </c>
      <c r="N44" s="10"/>
      <c r="O44" s="4"/>
    </row>
    <row r="45" spans="1:15" ht="14.25" x14ac:dyDescent="0.2">
      <c r="A45" s="1" t="s">
        <v>1</v>
      </c>
      <c r="B45" s="3">
        <v>0.56989999999999996</v>
      </c>
      <c r="C45" s="3">
        <v>0.59509999999999996</v>
      </c>
      <c r="D45" s="3">
        <v>0.73280000000000001</v>
      </c>
      <c r="E45" s="3">
        <v>0.8468</v>
      </c>
      <c r="F45" s="3">
        <v>0.78920000000000001</v>
      </c>
      <c r="G45" s="3">
        <v>0.74060000000000004</v>
      </c>
      <c r="H45" s="3">
        <v>0.80159999999999998</v>
      </c>
      <c r="I45" s="3">
        <v>0.83309999999999995</v>
      </c>
      <c r="J45" s="3">
        <v>0.73929999999999996</v>
      </c>
      <c r="K45" s="3">
        <v>0.78420000000000001</v>
      </c>
      <c r="L45" s="3">
        <v>0.83360000000000001</v>
      </c>
      <c r="M45" s="3">
        <v>0.78910000000000002</v>
      </c>
      <c r="N45" s="15">
        <f>IFERROR(SUM(B45:M45)/COUNTA(B45:M45),0)</f>
        <v>0.75460833333333321</v>
      </c>
      <c r="O45" s="3"/>
    </row>
    <row r="46" spans="1:15" ht="14.25" x14ac:dyDescent="0.2">
      <c r="A46" s="1" t="s">
        <v>2</v>
      </c>
      <c r="B46" s="4">
        <v>9081</v>
      </c>
      <c r="C46" s="4">
        <v>8564</v>
      </c>
      <c r="D46" s="4">
        <v>11677</v>
      </c>
      <c r="E46" s="4">
        <v>13057</v>
      </c>
      <c r="F46" s="4">
        <v>12575</v>
      </c>
      <c r="G46" s="4">
        <v>11420</v>
      </c>
      <c r="H46" s="4">
        <v>12772</v>
      </c>
      <c r="I46" s="4">
        <v>13274</v>
      </c>
      <c r="J46" s="4">
        <v>11400</v>
      </c>
      <c r="K46" s="4">
        <v>12496</v>
      </c>
      <c r="L46" s="4">
        <v>12854</v>
      </c>
      <c r="M46" s="4">
        <v>12574</v>
      </c>
      <c r="N46" s="14">
        <f>IFERROR(SUM(B46:M46)/COUNTA(B46:M46),0)</f>
        <v>11812</v>
      </c>
      <c r="O46" s="4"/>
    </row>
    <row r="47" spans="1:15" ht="14.25" x14ac:dyDescent="0.2">
      <c r="A47" s="1" t="s">
        <v>3</v>
      </c>
      <c r="B47" s="4">
        <v>1379</v>
      </c>
      <c r="C47" s="4">
        <v>1211</v>
      </c>
      <c r="D47" s="4">
        <v>1722</v>
      </c>
      <c r="E47" s="4">
        <v>2604</v>
      </c>
      <c r="F47" s="4">
        <v>2871</v>
      </c>
      <c r="G47" s="4">
        <v>2154</v>
      </c>
      <c r="H47" s="4">
        <v>2085</v>
      </c>
      <c r="I47" s="4">
        <v>1274</v>
      </c>
      <c r="J47" s="4">
        <v>3087</v>
      </c>
      <c r="K47" s="4">
        <v>1876</v>
      </c>
      <c r="L47" s="4">
        <v>3163</v>
      </c>
      <c r="M47" s="4">
        <v>1280</v>
      </c>
      <c r="N47" s="14">
        <f>IFERROR(SUM(B47:M47)/COUNTA(B47:M47),0)</f>
        <v>2058.8333333333335</v>
      </c>
      <c r="O47" s="4"/>
    </row>
    <row r="48" spans="1:15" ht="14.25" x14ac:dyDescent="0.2">
      <c r="A48" s="1" t="s">
        <v>4</v>
      </c>
      <c r="B48" s="3">
        <f t="shared" ref="B48:L48" si="4">IFERROR(B47/B46,0)</f>
        <v>0.15185552251954632</v>
      </c>
      <c r="C48" s="3">
        <f t="shared" si="4"/>
        <v>0.14140588510042038</v>
      </c>
      <c r="D48" s="3">
        <f t="shared" si="4"/>
        <v>0.14746938425965572</v>
      </c>
      <c r="E48" s="3">
        <f t="shared" si="4"/>
        <v>0.19943325419315311</v>
      </c>
      <c r="F48" s="3">
        <f t="shared" si="4"/>
        <v>0.22831013916500995</v>
      </c>
      <c r="G48" s="3">
        <f t="shared" si="4"/>
        <v>0.18861646234676008</v>
      </c>
      <c r="H48" s="3">
        <f t="shared" si="4"/>
        <v>0.16324772940808019</v>
      </c>
      <c r="I48" s="3">
        <f t="shared" si="4"/>
        <v>9.5977098086484858E-2</v>
      </c>
      <c r="J48" s="3">
        <f t="shared" si="4"/>
        <v>0.27078947368421052</v>
      </c>
      <c r="K48" s="3">
        <f t="shared" si="4"/>
        <v>0.15012804097311139</v>
      </c>
      <c r="L48" s="3">
        <f t="shared" si="4"/>
        <v>0.24607126186401121</v>
      </c>
      <c r="M48" s="3">
        <f>IFERROR(M47/M46,0)</f>
        <v>0.10179735963098457</v>
      </c>
      <c r="N48" s="15">
        <f t="shared" ref="N48" si="5">SUM(B48:M48)/COUNTA(B48:M48)</f>
        <v>0.17375846760261904</v>
      </c>
      <c r="O48" s="4"/>
    </row>
    <row r="49" spans="1:17" ht="14.25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11"/>
      <c r="O49" s="4"/>
    </row>
    <row r="50" spans="1:17" ht="14.25" x14ac:dyDescent="0.2">
      <c r="A50" s="1" t="s">
        <v>5</v>
      </c>
      <c r="B50" s="9">
        <v>14209</v>
      </c>
      <c r="C50" s="4">
        <v>12413</v>
      </c>
      <c r="D50" s="4">
        <v>15824</v>
      </c>
      <c r="E50" s="4">
        <v>19084</v>
      </c>
      <c r="F50" s="4">
        <v>18854</v>
      </c>
      <c r="G50" s="4">
        <v>16379</v>
      </c>
      <c r="H50" s="4">
        <v>18984</v>
      </c>
      <c r="I50" s="9">
        <v>19949</v>
      </c>
      <c r="J50" s="9">
        <v>14805</v>
      </c>
      <c r="K50" s="4">
        <v>17475</v>
      </c>
      <c r="L50" s="4">
        <v>17354</v>
      </c>
      <c r="M50" s="4">
        <v>18565</v>
      </c>
      <c r="N50" s="14">
        <f>IFERROR(SUM(B50:M50)/COUNTA(B50:M50),0)</f>
        <v>16991.25</v>
      </c>
      <c r="O50" s="4"/>
    </row>
    <row r="51" spans="1:17" ht="14.25" x14ac:dyDescent="0.2">
      <c r="A51" s="1" t="s">
        <v>6</v>
      </c>
      <c r="B51" s="9">
        <v>110</v>
      </c>
      <c r="C51" s="4">
        <v>85</v>
      </c>
      <c r="D51" s="4">
        <v>65</v>
      </c>
      <c r="E51" s="4">
        <v>121</v>
      </c>
      <c r="F51" s="4">
        <v>174</v>
      </c>
      <c r="G51" s="4">
        <v>159</v>
      </c>
      <c r="H51" s="4">
        <v>351</v>
      </c>
      <c r="I51" s="9">
        <v>522</v>
      </c>
      <c r="J51" s="9">
        <v>76</v>
      </c>
      <c r="K51" s="4">
        <v>111</v>
      </c>
      <c r="L51" s="4">
        <v>73</v>
      </c>
      <c r="M51" s="4">
        <v>197</v>
      </c>
      <c r="N51" s="14">
        <f>IFERROR(SUM(B51:M51)/COUNTA(B51:M51),0)</f>
        <v>170.33333333333334</v>
      </c>
      <c r="O51" s="4"/>
    </row>
    <row r="52" spans="1:17" ht="14.25" x14ac:dyDescent="0.2">
      <c r="A52" s="1" t="s">
        <v>7</v>
      </c>
      <c r="B52" s="7">
        <f>IFERROR(B50/B46,0)</f>
        <v>1.5646955181147451</v>
      </c>
      <c r="C52" s="3">
        <f t="shared" ref="C52:L52" si="6">IFERROR(C50/C46,0)</f>
        <v>1.4494395142456795</v>
      </c>
      <c r="D52" s="3">
        <f t="shared" si="6"/>
        <v>1.3551425879934915</v>
      </c>
      <c r="E52" s="3">
        <f t="shared" si="6"/>
        <v>1.4615914834954431</v>
      </c>
      <c r="F52" s="3">
        <f>IFERROR(F50/F46,0)</f>
        <v>1.4993240556660039</v>
      </c>
      <c r="G52" s="3">
        <f>IFERROR(G50/G46,0)</f>
        <v>1.4342381786339755</v>
      </c>
      <c r="H52" s="3">
        <f t="shared" si="6"/>
        <v>1.4863764484810522</v>
      </c>
      <c r="I52" s="3">
        <f t="shared" si="6"/>
        <v>1.5028627391893927</v>
      </c>
      <c r="J52" s="3">
        <f t="shared" si="6"/>
        <v>1.2986842105263159</v>
      </c>
      <c r="K52" s="3">
        <f t="shared" si="6"/>
        <v>1.3984475032010244</v>
      </c>
      <c r="L52" s="3">
        <f t="shared" si="6"/>
        <v>1.3500855764742492</v>
      </c>
      <c r="M52" s="3">
        <f>IFERROR(M50/M46,0)</f>
        <v>1.4764593605853349</v>
      </c>
      <c r="N52" s="15">
        <f t="shared" ref="N52:N53" si="7">SUM(B52:M52)/COUNTA(B52:M52)</f>
        <v>1.4397789313838922</v>
      </c>
      <c r="O52" s="4" t="s">
        <v>16</v>
      </c>
      <c r="P52" t="s">
        <v>17</v>
      </c>
    </row>
    <row r="53" spans="1:17" ht="14.25" x14ac:dyDescent="0.2">
      <c r="A53" s="1" t="s">
        <v>8</v>
      </c>
      <c r="B53" s="7">
        <f t="shared" ref="B53:L53" si="8">IFERROR(B51/B50,0)</f>
        <v>7.7415722429446127E-3</v>
      </c>
      <c r="C53" s="3">
        <f t="shared" si="8"/>
        <v>6.8476597115926848E-3</v>
      </c>
      <c r="D53" s="3">
        <f t="shared" si="8"/>
        <v>4.1076845298281088E-3</v>
      </c>
      <c r="E53" s="3">
        <f t="shared" si="8"/>
        <v>6.3403898553762317E-3</v>
      </c>
      <c r="F53" s="3">
        <f>IFERROR(F51/F50,0)</f>
        <v>9.2288108624164634E-3</v>
      </c>
      <c r="G53" s="3">
        <f t="shared" si="8"/>
        <v>9.7075523536235431E-3</v>
      </c>
      <c r="H53" s="3">
        <f t="shared" si="8"/>
        <v>1.8489254108723135E-2</v>
      </c>
      <c r="I53" s="3">
        <f t="shared" si="8"/>
        <v>2.6166725149130283E-2</v>
      </c>
      <c r="J53" s="3">
        <f t="shared" si="8"/>
        <v>5.1334008780817295E-3</v>
      </c>
      <c r="K53" s="3">
        <f t="shared" si="8"/>
        <v>6.3519313304721027E-3</v>
      </c>
      <c r="L53" s="3">
        <f t="shared" si="8"/>
        <v>4.2065229918174483E-3</v>
      </c>
      <c r="M53" s="3">
        <f>IFERROR(M51/M50,0)</f>
        <v>1.0611365472663614E-2</v>
      </c>
      <c r="N53" s="15">
        <f t="shared" si="7"/>
        <v>9.5777391238891629E-3</v>
      </c>
      <c r="O53" s="4" t="s">
        <v>20</v>
      </c>
    </row>
    <row r="54" spans="1:17" ht="15" thickBot="1" x14ac:dyDescent="0.25">
      <c r="A54" s="5"/>
      <c r="B54" s="16" t="s">
        <v>12</v>
      </c>
      <c r="C54" s="6"/>
      <c r="D54" s="6"/>
      <c r="E54" s="6"/>
      <c r="F54" s="17" t="s">
        <v>18</v>
      </c>
      <c r="G54" s="6"/>
      <c r="H54" s="16" t="s">
        <v>21</v>
      </c>
      <c r="I54" s="16"/>
      <c r="J54" s="6"/>
      <c r="K54" s="6"/>
      <c r="L54" s="6"/>
      <c r="M54" s="6"/>
      <c r="N54" s="13"/>
      <c r="O54" s="4"/>
    </row>
    <row r="56" spans="1:17" ht="14.25" thickBot="1" x14ac:dyDescent="0.2"/>
    <row r="57" spans="1:17" ht="26.25" customHeight="1" x14ac:dyDescent="0.2">
      <c r="A57" s="23" t="s">
        <v>22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5"/>
      <c r="O57" s="4"/>
    </row>
    <row r="58" spans="1:17" ht="14.25" x14ac:dyDescent="0.2">
      <c r="A58" s="1"/>
      <c r="B58" s="2">
        <v>46023</v>
      </c>
      <c r="C58" s="2">
        <f>B58+32</f>
        <v>46055</v>
      </c>
      <c r="D58" s="2">
        <f t="shared" ref="D58:M58" si="9">C58+32</f>
        <v>46087</v>
      </c>
      <c r="E58" s="2">
        <f t="shared" si="9"/>
        <v>46119</v>
      </c>
      <c r="F58" s="2">
        <f t="shared" si="9"/>
        <v>46151</v>
      </c>
      <c r="G58" s="2">
        <f t="shared" si="9"/>
        <v>46183</v>
      </c>
      <c r="H58" s="2">
        <f t="shared" si="9"/>
        <v>46215</v>
      </c>
      <c r="I58" s="2">
        <f t="shared" si="9"/>
        <v>46247</v>
      </c>
      <c r="J58" s="2">
        <f t="shared" si="9"/>
        <v>46279</v>
      </c>
      <c r="K58" s="2">
        <f t="shared" si="9"/>
        <v>46311</v>
      </c>
      <c r="L58" s="2">
        <f t="shared" si="9"/>
        <v>46343</v>
      </c>
      <c r="M58" s="2">
        <f t="shared" si="9"/>
        <v>46375</v>
      </c>
      <c r="N58" s="10"/>
      <c r="O58" s="4"/>
      <c r="Q58" s="22"/>
    </row>
    <row r="59" spans="1:17" ht="14.25" x14ac:dyDescent="0.2">
      <c r="A59" s="1" t="s">
        <v>1</v>
      </c>
      <c r="B59" s="3">
        <v>0.69420000000000004</v>
      </c>
      <c r="C59" s="3">
        <v>0.52590000000000003</v>
      </c>
      <c r="D59" s="3">
        <v>0.79349999999999998</v>
      </c>
      <c r="E59" s="3">
        <v>0.80100000000000005</v>
      </c>
      <c r="F59" s="3"/>
      <c r="G59" s="3"/>
      <c r="H59" s="3"/>
      <c r="I59" s="3"/>
      <c r="J59" s="3"/>
      <c r="K59" s="3"/>
      <c r="L59" s="3"/>
      <c r="M59" s="3"/>
      <c r="N59" s="15">
        <f>IFERROR(SUM(B59:M59)/COUNTA(B59:M59),0)</f>
        <v>0.70365</v>
      </c>
      <c r="O59" s="3"/>
    </row>
    <row r="60" spans="1:17" ht="14.25" x14ac:dyDescent="0.2">
      <c r="A60" s="1" t="s">
        <v>2</v>
      </c>
      <c r="B60" s="4">
        <v>11062</v>
      </c>
      <c r="C60" s="4">
        <v>7569</v>
      </c>
      <c r="D60" s="4">
        <v>12643</v>
      </c>
      <c r="E60" s="4">
        <v>12380</v>
      </c>
      <c r="F60" s="4"/>
      <c r="G60" s="4"/>
      <c r="H60" s="4"/>
      <c r="I60" s="4"/>
      <c r="J60" s="4"/>
      <c r="K60" s="4"/>
      <c r="L60" s="4"/>
      <c r="M60" s="4"/>
      <c r="N60" s="14">
        <f>IFERROR(SUM(B60:M60)/COUNTA(B60:M60),0)</f>
        <v>10913.5</v>
      </c>
      <c r="O60" s="4"/>
    </row>
    <row r="61" spans="1:17" ht="14.25" x14ac:dyDescent="0.2">
      <c r="A61" s="1" t="s">
        <v>3</v>
      </c>
      <c r="B61" s="4">
        <v>2589</v>
      </c>
      <c r="C61" s="4">
        <v>1051</v>
      </c>
      <c r="D61" s="4">
        <v>3350</v>
      </c>
      <c r="E61" s="4">
        <v>968</v>
      </c>
      <c r="F61" s="4"/>
      <c r="G61" s="4"/>
      <c r="H61" s="4"/>
      <c r="I61" s="4"/>
      <c r="J61" s="4"/>
      <c r="K61" s="4"/>
      <c r="L61" s="4"/>
      <c r="M61" s="4"/>
      <c r="N61" s="14">
        <f>IFERROR(SUM(B61:M61)/COUNTA(B61:M61),0)</f>
        <v>1989.5</v>
      </c>
      <c r="O61" s="4"/>
    </row>
    <row r="62" spans="1:17" ht="14.25" x14ac:dyDescent="0.2">
      <c r="A62" s="1" t="s">
        <v>4</v>
      </c>
      <c r="B62" s="3">
        <f t="shared" ref="B62:L62" si="10">IFERROR(B61/B60,0)</f>
        <v>0.2340444765865124</v>
      </c>
      <c r="C62" s="3">
        <f t="shared" si="10"/>
        <v>0.13885585942660852</v>
      </c>
      <c r="D62" s="3">
        <f t="shared" si="10"/>
        <v>0.26496875741517045</v>
      </c>
      <c r="E62" s="3">
        <f t="shared" si="10"/>
        <v>7.8190630048465271E-2</v>
      </c>
      <c r="F62" s="3">
        <f t="shared" si="10"/>
        <v>0</v>
      </c>
      <c r="G62" s="3">
        <f t="shared" si="10"/>
        <v>0</v>
      </c>
      <c r="H62" s="3">
        <f t="shared" si="10"/>
        <v>0</v>
      </c>
      <c r="I62" s="3">
        <f t="shared" si="10"/>
        <v>0</v>
      </c>
      <c r="J62" s="3">
        <f t="shared" si="10"/>
        <v>0</v>
      </c>
      <c r="K62" s="3">
        <f t="shared" si="10"/>
        <v>0</v>
      </c>
      <c r="L62" s="3">
        <f t="shared" si="10"/>
        <v>0</v>
      </c>
      <c r="M62" s="3">
        <f>IFERROR(M61/M60,0)</f>
        <v>0</v>
      </c>
      <c r="N62" s="15">
        <f t="shared" ref="N62" si="11">SUM(B62:M62)/COUNTA(B62:M62)</f>
        <v>5.9671643623063049E-2</v>
      </c>
      <c r="O62" s="4"/>
    </row>
    <row r="63" spans="1:17" ht="14.25" x14ac:dyDescent="0.2">
      <c r="A63" s="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11"/>
      <c r="O63" s="4"/>
    </row>
    <row r="64" spans="1:17" ht="14.25" x14ac:dyDescent="0.2">
      <c r="A64" s="1" t="s">
        <v>5</v>
      </c>
      <c r="B64" s="4">
        <v>15175</v>
      </c>
      <c r="C64" s="9">
        <v>10985</v>
      </c>
      <c r="D64" s="4">
        <v>16132</v>
      </c>
      <c r="E64" s="4">
        <v>17158</v>
      </c>
      <c r="F64" s="18"/>
      <c r="G64" s="18"/>
      <c r="H64" s="18"/>
      <c r="I64" s="18"/>
      <c r="J64" s="18"/>
      <c r="K64" s="4"/>
      <c r="L64" s="4"/>
      <c r="M64" s="4"/>
      <c r="N64" s="14">
        <f>IFERROR(SUM(B64:M64)/COUNTA(B64:M64),0)</f>
        <v>14862.5</v>
      </c>
      <c r="O64" s="4"/>
    </row>
    <row r="65" spans="1:16" ht="14.25" x14ac:dyDescent="0.2">
      <c r="A65" s="1" t="s">
        <v>6</v>
      </c>
      <c r="B65" s="4">
        <v>121</v>
      </c>
      <c r="C65" s="9">
        <v>312</v>
      </c>
      <c r="D65" s="4">
        <v>60</v>
      </c>
      <c r="E65" s="4">
        <v>205</v>
      </c>
      <c r="F65" s="18"/>
      <c r="G65" s="18"/>
      <c r="H65" s="18"/>
      <c r="I65" s="18"/>
      <c r="J65" s="18"/>
      <c r="K65" s="4"/>
      <c r="L65" s="4"/>
      <c r="M65" s="4"/>
      <c r="N65" s="14">
        <f>IFERROR(SUM(B65:M65)/COUNTA(B65:M65),0)</f>
        <v>174.5</v>
      </c>
      <c r="O65" s="4"/>
    </row>
    <row r="66" spans="1:16" ht="14.25" x14ac:dyDescent="0.2">
      <c r="A66" s="1" t="s">
        <v>7</v>
      </c>
      <c r="B66" s="3">
        <f>IFERROR(B64/B60,0)</f>
        <v>1.3718134152956065</v>
      </c>
      <c r="C66" s="7">
        <f t="shared" ref="C66:E66" si="12">IFERROR(C64/C60,0)</f>
        <v>1.4513145725987582</v>
      </c>
      <c r="D66" s="3">
        <f t="shared" si="12"/>
        <v>1.2759629834691133</v>
      </c>
      <c r="E66" s="3">
        <f t="shared" si="12"/>
        <v>1.3859450726978999</v>
      </c>
      <c r="F66" s="19">
        <f>IFERROR(F64/F60,0)</f>
        <v>0</v>
      </c>
      <c r="G66" s="19">
        <f>IFERROR(G64/G60,0)</f>
        <v>0</v>
      </c>
      <c r="H66" s="19">
        <f t="shared" ref="H66:L66" si="13">IFERROR(H64/H60,0)</f>
        <v>0</v>
      </c>
      <c r="I66" s="19">
        <f t="shared" si="13"/>
        <v>0</v>
      </c>
      <c r="J66" s="19">
        <f t="shared" si="13"/>
        <v>0</v>
      </c>
      <c r="K66" s="3">
        <f t="shared" si="13"/>
        <v>0</v>
      </c>
      <c r="L66" s="3">
        <f t="shared" si="13"/>
        <v>0</v>
      </c>
      <c r="M66" s="3">
        <f>IFERROR(M64/M60,0)</f>
        <v>0</v>
      </c>
      <c r="N66" s="15">
        <f t="shared" ref="N66:N67" si="14">SUM(B66:M66)/COUNTA(B66:M66)</f>
        <v>0.45708633700511481</v>
      </c>
      <c r="O66" s="4" t="s">
        <v>16</v>
      </c>
      <c r="P66" t="s">
        <v>17</v>
      </c>
    </row>
    <row r="67" spans="1:16" ht="14.25" x14ac:dyDescent="0.2">
      <c r="A67" s="1" t="s">
        <v>8</v>
      </c>
      <c r="B67" s="3">
        <f t="shared" ref="B67:E67" si="15">IFERROR(B65/B64,0)</f>
        <v>7.9736408566721574E-3</v>
      </c>
      <c r="C67" s="7">
        <f t="shared" si="15"/>
        <v>2.8402366863905324E-2</v>
      </c>
      <c r="D67" s="3">
        <f t="shared" si="15"/>
        <v>3.7193156459211507E-3</v>
      </c>
      <c r="E67" s="3">
        <f t="shared" si="15"/>
        <v>1.1947779461475697E-2</v>
      </c>
      <c r="F67" s="19">
        <f>IFERROR(F65/F64,0)</f>
        <v>0</v>
      </c>
      <c r="G67" s="19">
        <f t="shared" ref="G67:L67" si="16">IFERROR(G65/G64,0)</f>
        <v>0</v>
      </c>
      <c r="H67" s="19">
        <f t="shared" si="16"/>
        <v>0</v>
      </c>
      <c r="I67" s="19">
        <f t="shared" si="16"/>
        <v>0</v>
      </c>
      <c r="J67" s="19">
        <f t="shared" si="16"/>
        <v>0</v>
      </c>
      <c r="K67" s="3">
        <f t="shared" si="16"/>
        <v>0</v>
      </c>
      <c r="L67" s="3">
        <f t="shared" si="16"/>
        <v>0</v>
      </c>
      <c r="M67" s="3">
        <f>IFERROR(M65/M64,0)</f>
        <v>0</v>
      </c>
      <c r="N67" s="15">
        <f t="shared" si="14"/>
        <v>4.3369252356645271E-3</v>
      </c>
      <c r="O67" s="4" t="s">
        <v>20</v>
      </c>
    </row>
    <row r="68" spans="1:16" ht="15" thickBot="1" x14ac:dyDescent="0.25">
      <c r="A68" s="5"/>
      <c r="B68" s="6"/>
      <c r="C68" s="16" t="s">
        <v>12</v>
      </c>
      <c r="D68" s="6"/>
      <c r="E68" s="6"/>
      <c r="F68" s="20"/>
      <c r="G68" s="21"/>
      <c r="H68" s="21"/>
      <c r="I68" s="21"/>
      <c r="J68" s="21"/>
      <c r="K68" s="6"/>
      <c r="L68" s="6"/>
      <c r="M68" s="6"/>
      <c r="N68" s="13"/>
      <c r="O68" s="4"/>
    </row>
  </sheetData>
  <mergeCells count="5">
    <mergeCell ref="A1:N1"/>
    <mergeCell ref="A15:N15"/>
    <mergeCell ref="A29:N29"/>
    <mergeCell ref="A43:N43"/>
    <mergeCell ref="A57:N57"/>
  </mergeCells>
  <phoneticPr fontId="2" type="noConversion"/>
  <pageMargins left="0.75" right="0.75" top="1" bottom="1" header="0.51180555555555596" footer="0.511805555555555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40" zoomScaleNormal="140" workbookViewId="0"/>
  </sheetViews>
  <sheetFormatPr defaultColWidth="8.625" defaultRowHeight="13.5" x14ac:dyDescent="0.15"/>
  <sheetData/>
  <phoneticPr fontId="2" type="noConversion"/>
  <pageMargins left="0.75" right="0.75" top="1" bottom="1" header="0.51180555555555596" footer="0.5118055555555559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140" zoomScaleNormal="140" workbookViewId="0"/>
  </sheetViews>
  <sheetFormatPr defaultColWidth="8.625" defaultRowHeight="13.5" x14ac:dyDescent="0.15"/>
  <sheetData/>
  <phoneticPr fontId="2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Du, Hetty</cp:lastModifiedBy>
  <dcterms:created xsi:type="dcterms:W3CDTF">2024-11-03T11:06:50Z</dcterms:created>
  <dcterms:modified xsi:type="dcterms:W3CDTF">2026-05-01T12:51:06Z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AF556A9664B90F5C4A592767EEA0C5D1_31</vt:lpwstr>
  </property>
  <property fmtid="{D5CDD505-2E9C-101B-9397-08002B2CF9AE}" pid="3" name="KSOProductBuildVer">
    <vt:lpwstr>2052-12.18.0</vt:lpwstr>
  </property>
</Properties>
</file>