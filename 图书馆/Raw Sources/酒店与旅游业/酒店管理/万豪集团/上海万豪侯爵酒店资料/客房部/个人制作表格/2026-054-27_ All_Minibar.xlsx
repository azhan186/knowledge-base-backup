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hamjfp1\GroupData\Housekeeping\Emma\12.客房部采购和盘点\2026年\Minibar\"/>
    </mc:Choice>
  </mc:AlternateContent>
  <xr:revisionPtr revIDLastSave="0" documentId="13_ncr:1_{E9F8CAA4-1645-4964-930F-A71C6CD32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盘点表" sheetId="3" r:id="rId1"/>
  </sheets>
  <definedNames>
    <definedName name="_xlnm.Print_Titles" localSheetId="0">盘点表!$2:$2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3" l="1"/>
  <c r="J17" i="3"/>
  <c r="H21" i="3"/>
  <c r="H15" i="3"/>
  <c r="H10" i="3"/>
  <c r="H11" i="3"/>
  <c r="H12" i="3"/>
  <c r="D11" i="3" l="1"/>
  <c r="N11" i="3" s="1"/>
  <c r="D12" i="3"/>
  <c r="G12" i="3" s="1"/>
  <c r="D13" i="3"/>
  <c r="D14" i="3"/>
  <c r="D15" i="3"/>
  <c r="D16" i="3"/>
  <c r="D17" i="3"/>
  <c r="G17" i="3" s="1"/>
  <c r="D18" i="3"/>
  <c r="D19" i="3"/>
  <c r="D20" i="3"/>
  <c r="D21" i="3"/>
  <c r="D22" i="3"/>
  <c r="D23" i="3"/>
  <c r="N23" i="3" s="1"/>
  <c r="O23" i="3" s="1"/>
  <c r="D3" i="3"/>
  <c r="D4" i="3"/>
  <c r="D5" i="3"/>
  <c r="D6" i="3"/>
  <c r="N6" i="3" s="1"/>
  <c r="O6" i="3" s="1"/>
  <c r="D7" i="3"/>
  <c r="N7" i="3" s="1"/>
  <c r="O7" i="3" s="1"/>
  <c r="D8" i="3"/>
  <c r="D9" i="3"/>
  <c r="H23" i="3"/>
  <c r="H22" i="3"/>
  <c r="N22" i="3" s="1"/>
  <c r="O22" i="3" s="1"/>
  <c r="H20" i="3"/>
  <c r="H14" i="3"/>
  <c r="H13" i="3"/>
  <c r="H9" i="3"/>
  <c r="H8" i="3"/>
  <c r="H7" i="3"/>
  <c r="H6" i="3"/>
  <c r="H5" i="3"/>
  <c r="N5" i="3" s="1"/>
  <c r="O5" i="3" s="1"/>
  <c r="H3" i="3"/>
  <c r="N3" i="3"/>
  <c r="O3" i="3" s="1"/>
  <c r="N4" i="3"/>
  <c r="O4" i="3" s="1"/>
  <c r="N9" i="3"/>
  <c r="O9" i="3" s="1"/>
  <c r="N19" i="3"/>
  <c r="G22" i="3"/>
  <c r="G23" i="3"/>
  <c r="G3" i="3"/>
  <c r="G4" i="3"/>
  <c r="G5" i="3"/>
  <c r="G6" i="3"/>
  <c r="G7" i="3"/>
  <c r="G8" i="3"/>
  <c r="G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3" i="3"/>
  <c r="K4" i="3"/>
  <c r="K5" i="3"/>
  <c r="K6" i="3"/>
  <c r="K7" i="3"/>
  <c r="K8" i="3"/>
  <c r="K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22" i="3"/>
  <c r="L23" i="3"/>
  <c r="L17" i="3"/>
  <c r="L18" i="3"/>
  <c r="L19" i="3"/>
  <c r="L20" i="3"/>
  <c r="L21" i="3"/>
  <c r="L16" i="3"/>
  <c r="K10" i="3"/>
  <c r="G11" i="3"/>
  <c r="G13" i="3"/>
  <c r="D10" i="3"/>
  <c r="G10" i="3" s="1"/>
  <c r="G18" i="3"/>
  <c r="G19" i="3"/>
  <c r="N20" i="3"/>
  <c r="N16" i="3"/>
  <c r="N17" i="3" l="1"/>
  <c r="O17" i="3" s="1"/>
  <c r="N8" i="3"/>
  <c r="O8" i="3" s="1"/>
  <c r="N21" i="3"/>
  <c r="O21" i="3" s="1"/>
  <c r="N10" i="3"/>
  <c r="O10" i="3" s="1"/>
  <c r="N15" i="3"/>
  <c r="O15" i="3" s="1"/>
  <c r="N13" i="3"/>
  <c r="O13" i="3" s="1"/>
  <c r="N12" i="3"/>
  <c r="O12" i="3" s="1"/>
  <c r="N18" i="3"/>
  <c r="O18" i="3" s="1"/>
  <c r="O16" i="3"/>
  <c r="O20" i="3"/>
  <c r="N14" i="3"/>
  <c r="O14" i="3" s="1"/>
  <c r="O19" i="3"/>
  <c r="O11" i="3"/>
  <c r="G16" i="3"/>
  <c r="G21" i="3"/>
  <c r="G15" i="3"/>
  <c r="G20" i="3"/>
  <c r="G14" i="3"/>
</calcChain>
</file>

<file path=xl/sharedStrings.xml><?xml version="1.0" encoding="utf-8"?>
<sst xmlns="http://schemas.openxmlformats.org/spreadsheetml/2006/main" count="57" uniqueCount="57">
  <si>
    <t>L0000019896</t>
  </si>
  <si>
    <t>L0000020285</t>
  </si>
  <si>
    <t>L0000020288</t>
  </si>
  <si>
    <t>L0000020292</t>
  </si>
  <si>
    <t>L0000168057</t>
  </si>
  <si>
    <t>L0000842938</t>
  </si>
  <si>
    <t>L0001041497</t>
  </si>
  <si>
    <t>L0001041500</t>
  </si>
  <si>
    <t>L0003376056</t>
  </si>
  <si>
    <t>L0003376061</t>
  </si>
  <si>
    <t>L0003437837</t>
  </si>
  <si>
    <t>Santa Carolina Estrella Cabernet Sauvigno
富隆胜卡罗赤霞珠红葡萄酒 187.5ML瓶</t>
  </si>
  <si>
    <t>Santa Carolina Estrella Chardonnay 
富隆胜卡罗霞多丽白葡萄酒187.5ML瓶</t>
  </si>
  <si>
    <t>MiniBar\De Bortoli Willowglen Semillon Sauvignon Blanc 375ml
德保利杨柳谷赛美容长相思白葡萄酒\375ml\BTL</t>
  </si>
  <si>
    <t>MiniBar\De Bortoli Willowglen Shiraz Cabernet 375ml
德保利杨柳谷设拉子赤霞珠红葡萄酒\375ml\BTL</t>
  </si>
  <si>
    <t>White Bear Beer
白熊啤酒\330ml*24\BTL</t>
  </si>
  <si>
    <t>Beverage Minibar Beverage\Beefeater Gin
比富达伦敦金酒\50ml/瓶</t>
  </si>
  <si>
    <t>Blended Scotch Whisky Aged 12 Years/Chivas
芝华士12年威士忌/50Ml/Btl</t>
  </si>
  <si>
    <t>Absolut Vodka
绝对伏特加/原味/50Ml/Btl</t>
  </si>
  <si>
    <t>Tsingtao Brown Bottle Beer
青岛棕金瓶\296mlx24 btl</t>
  </si>
  <si>
    <t>Martell
名仕马爹利 迷你吧\50ml</t>
  </si>
  <si>
    <t>Jameson Miniature
尊美醇爱尔兰威士忌小酒伴/50Ml/Btl</t>
  </si>
  <si>
    <t>品名</t>
  </si>
  <si>
    <t>编号</t>
  </si>
  <si>
    <t>上月库存</t>
  </si>
  <si>
    <t>本月
实际库存</t>
  </si>
  <si>
    <t>售卖单价</t>
  </si>
  <si>
    <t>成本</t>
  </si>
  <si>
    <t>总成本</t>
  </si>
  <si>
    <t>盘点数量</t>
  </si>
  <si>
    <t>当月到货</t>
  </si>
  <si>
    <t>本月售卖</t>
  </si>
  <si>
    <t>售卖成本</t>
  </si>
  <si>
    <t>售卖总价</t>
  </si>
  <si>
    <t>调拨</t>
  </si>
  <si>
    <t>遗失</t>
  </si>
  <si>
    <t>遗失成本</t>
  </si>
  <si>
    <t>Tsingtao
万豪定制青岛啤酒11度\330ml*24\BTL</t>
  </si>
  <si>
    <t>L0004146199</t>
  </si>
  <si>
    <t>Voss Artesian Water Sparkling
芙丝 苏打水饮料（含气型）\375ml*24\CS</t>
  </si>
  <si>
    <t>L0002011146</t>
  </si>
  <si>
    <t>San Pellegrino 250ml
圣培露矿泉水\250ml*24\瓶</t>
  </si>
  <si>
    <t>L0001495421</t>
  </si>
  <si>
    <t>San Lin Coconut water
三麟椰子水\330ml*12\BTL</t>
  </si>
  <si>
    <t>L0003437878</t>
  </si>
  <si>
    <t>JING YU ZHAI Syrupof Plum
京誉斋酸梅汤\12x300ml\CS</t>
  </si>
  <si>
    <t>L0002384067</t>
  </si>
  <si>
    <t>Soft Drink\Pepsi Sleek Can
百事可乐细长罐\330ml*24can</t>
  </si>
  <si>
    <t>L0000797965</t>
  </si>
  <si>
    <t>Softdrink\Pepsi Black
百事可乐 黑罐\#170976#\330ML*24\CS</t>
  </si>
  <si>
    <t>L0000481421</t>
  </si>
  <si>
    <t>Softdrink 7 Up
七喜\330ml*24听/箱</t>
  </si>
  <si>
    <t>L0000161729</t>
  </si>
  <si>
    <t>Peanut
黄飞鸿麻辣花生\76g*30\CASE</t>
  </si>
  <si>
    <t>L0001033493</t>
  </si>
  <si>
    <t>L0002099991</t>
  </si>
  <si>
    <t>Crisps
乐事薯片 袋装抽屉式\40g\BAG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</si>
</sst>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¥&quot;#,##0.00;[Red]&quot;¥&quot;\-#,##0.00"/>
    <numFmt numFmtId="165" formatCode="0.00_ "/>
  </numFmts>
  <fonts count="23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  <font>
      <sz val="10"/>
      <color rgb="FF000000"/>
      <name val="Calibri"/>
      <family val="3"/>
      <charset val="134"/>
      <scheme val="minor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9"/>
      <name val="Calibri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9999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3" borderId="0" xfId="0" applyFont="1" applyFill="1" applyAlignment="1">
      <alignment horizontal="center" vertical="center"/>
    </xf>
    <xf numFmtId="0" fontId="20" fillId="33" borderId="10" xfId="0" applyFont="1" applyFill="1" applyBorder="1" applyAlignment="1">
      <alignment horizontal="left" wrapText="1"/>
    </xf>
    <xf numFmtId="0" fontId="20" fillId="33" borderId="10" xfId="0" applyFont="1" applyFill="1" applyBorder="1" applyAlignment="1">
      <alignment horizontal="right" wrapText="1"/>
    </xf>
    <xf numFmtId="0" fontId="21" fillId="33" borderId="10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right" vertical="center" wrapText="1"/>
    </xf>
    <xf numFmtId="164" fontId="21" fillId="33" borderId="10" xfId="0" applyNumberFormat="1" applyFont="1" applyFill="1" applyBorder="1" applyAlignment="1">
      <alignment horizontal="right" vertical="center" wrapText="1"/>
    </xf>
    <xf numFmtId="0" fontId="18" fillId="33" borderId="0" xfId="0" applyFont="1" applyFill="1">
      <alignment vertical="center"/>
    </xf>
    <xf numFmtId="165" fontId="21" fillId="33" borderId="1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showGridLines="0" tabSelected="1" topLeftCell="A7" zoomScaleNormal="100" workbookViewId="0">
      <selection activeCell="H16" sqref="H16"/>
    </sheetView>
  </sheetViews>
  <sheetFormatPr defaultColWidth="9" defaultRowHeight="15"/>
  <cols>
    <col min="1" max="1" width="12" style="1" bestFit="1" customWidth="1"/>
    <col min="2" max="2" width="43.85546875" style="1" customWidth="1"/>
    <col min="3" max="3" width="8" style="8" bestFit="1" customWidth="1"/>
    <col min="4" max="4" width="8" style="1" bestFit="1" customWidth="1"/>
    <col min="5" max="5" width="8" style="8" bestFit="1" customWidth="1"/>
    <col min="6" max="6" width="7.42578125" style="1" bestFit="1" customWidth="1"/>
    <col min="7" max="7" width="10.5703125" style="1" customWidth="1"/>
    <col min="8" max="8" width="9" style="1" customWidth="1"/>
    <col min="9" max="10" width="9" style="1"/>
    <col min="11" max="12" width="9" style="8"/>
    <col min="13" max="16384" width="9" style="1"/>
  </cols>
  <sheetData>
    <row r="1" spans="1:15">
      <c r="A1" s="2"/>
    </row>
    <row r="2" spans="1:15" ht="38.25">
      <c r="A2" s="3" t="s">
        <v>23</v>
      </c>
      <c r="B2" s="3" t="s">
        <v>22</v>
      </c>
      <c r="C2" s="3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</row>
    <row r="3" spans="1:15" s="8" customFormat="1" ht="24">
      <c r="A3" s="5" t="s">
        <v>40</v>
      </c>
      <c r="B3" s="5" t="s">
        <v>39</v>
      </c>
      <c r="C3" s="6"/>
      <c r="D3" s="6">
        <f t="shared" ref="D3:D23" si="0">C3+I3</f>
        <v>720</v>
      </c>
      <c r="E3" s="6">
        <v>60</v>
      </c>
      <c r="F3" s="7">
        <v>8.8495833333333334</v>
      </c>
      <c r="G3" s="7">
        <f t="shared" ref="G3:G23" si="1">F3*D3</f>
        <v>6371.7</v>
      </c>
      <c r="H3" s="6">
        <f>6*24+25+515</f>
        <v>684</v>
      </c>
      <c r="I3" s="6">
        <v>720</v>
      </c>
      <c r="J3" s="6"/>
      <c r="K3" s="9">
        <f t="shared" ref="K3:K23" si="2">J3*F3</f>
        <v>0</v>
      </c>
      <c r="L3" s="9">
        <f t="shared" ref="L3:L15" si="3">J3*E3</f>
        <v>0</v>
      </c>
      <c r="M3" s="6"/>
      <c r="N3" s="6">
        <f t="shared" ref="N3:N15" si="4">(M3+J3+H3)-D3</f>
        <v>-36</v>
      </c>
      <c r="O3" s="9">
        <f t="shared" ref="O3:O20" si="5">N3*F3</f>
        <v>-318.58499999999998</v>
      </c>
    </row>
    <row r="4" spans="1:15" s="8" customFormat="1" ht="24">
      <c r="A4" s="5" t="s">
        <v>42</v>
      </c>
      <c r="B4" s="5" t="s">
        <v>41</v>
      </c>
      <c r="C4" s="6"/>
      <c r="D4" s="6">
        <f t="shared" si="0"/>
        <v>0</v>
      </c>
      <c r="E4" s="6"/>
      <c r="F4" s="7">
        <v>3.92</v>
      </c>
      <c r="G4" s="7">
        <f t="shared" si="1"/>
        <v>0</v>
      </c>
      <c r="H4" s="6"/>
      <c r="I4" s="6"/>
      <c r="J4" s="6"/>
      <c r="K4" s="9">
        <f t="shared" si="2"/>
        <v>0</v>
      </c>
      <c r="L4" s="9">
        <f t="shared" si="3"/>
        <v>0</v>
      </c>
      <c r="M4" s="6"/>
      <c r="N4" s="6">
        <f t="shared" si="4"/>
        <v>0</v>
      </c>
      <c r="O4" s="9">
        <f t="shared" si="5"/>
        <v>0</v>
      </c>
    </row>
    <row r="5" spans="1:15" s="8" customFormat="1" ht="24">
      <c r="A5" s="5" t="s">
        <v>44</v>
      </c>
      <c r="B5" s="5" t="s">
        <v>43</v>
      </c>
      <c r="C5" s="6"/>
      <c r="D5" s="6">
        <f t="shared" si="0"/>
        <v>0</v>
      </c>
      <c r="E5" s="6">
        <v>38</v>
      </c>
      <c r="F5" s="7">
        <v>5.22</v>
      </c>
      <c r="G5" s="7">
        <f t="shared" si="1"/>
        <v>0</v>
      </c>
      <c r="H5" s="6">
        <f>4*24+2*24+23+515</f>
        <v>682</v>
      </c>
      <c r="I5" s="6"/>
      <c r="J5" s="6"/>
      <c r="K5" s="9">
        <f t="shared" si="2"/>
        <v>0</v>
      </c>
      <c r="L5" s="9">
        <f t="shared" si="3"/>
        <v>0</v>
      </c>
      <c r="M5" s="6"/>
      <c r="N5" s="6">
        <f t="shared" si="4"/>
        <v>682</v>
      </c>
      <c r="O5" s="9">
        <f t="shared" si="5"/>
        <v>3560.04</v>
      </c>
    </row>
    <row r="6" spans="1:15" s="8" customFormat="1" ht="24">
      <c r="A6" s="5" t="s">
        <v>46</v>
      </c>
      <c r="B6" s="5" t="s">
        <v>45</v>
      </c>
      <c r="C6" s="6"/>
      <c r="D6" s="6">
        <f t="shared" si="0"/>
        <v>240</v>
      </c>
      <c r="E6" s="6">
        <v>38</v>
      </c>
      <c r="F6" s="7">
        <v>4.7933333333333339</v>
      </c>
      <c r="G6" s="7">
        <f t="shared" si="1"/>
        <v>1150.4000000000001</v>
      </c>
      <c r="H6" s="6">
        <f>515+6*12+24+2</f>
        <v>613</v>
      </c>
      <c r="I6" s="6">
        <v>240</v>
      </c>
      <c r="J6" s="6"/>
      <c r="K6" s="9">
        <f t="shared" si="2"/>
        <v>0</v>
      </c>
      <c r="L6" s="9">
        <f t="shared" si="3"/>
        <v>0</v>
      </c>
      <c r="M6" s="6">
        <v>170</v>
      </c>
      <c r="N6" s="6">
        <f t="shared" si="4"/>
        <v>543</v>
      </c>
      <c r="O6" s="9">
        <f t="shared" si="5"/>
        <v>2602.7800000000002</v>
      </c>
    </row>
    <row r="7" spans="1:15" s="8" customFormat="1" ht="24">
      <c r="A7" s="5" t="s">
        <v>48</v>
      </c>
      <c r="B7" s="5" t="s">
        <v>47</v>
      </c>
      <c r="C7" s="6"/>
      <c r="D7" s="6">
        <f t="shared" si="0"/>
        <v>240</v>
      </c>
      <c r="E7" s="6">
        <v>38</v>
      </c>
      <c r="F7" s="7">
        <v>1.83375</v>
      </c>
      <c r="G7" s="7">
        <f t="shared" si="1"/>
        <v>440.1</v>
      </c>
      <c r="H7" s="6">
        <f>515+8*24+48</f>
        <v>755</v>
      </c>
      <c r="I7" s="6">
        <v>240</v>
      </c>
      <c r="J7" s="6"/>
      <c r="K7" s="9">
        <f t="shared" si="2"/>
        <v>0</v>
      </c>
      <c r="L7" s="9">
        <f t="shared" si="3"/>
        <v>0</v>
      </c>
      <c r="M7" s="6">
        <v>34</v>
      </c>
      <c r="N7" s="6">
        <f t="shared" si="4"/>
        <v>549</v>
      </c>
      <c r="O7" s="9">
        <f t="shared" si="5"/>
        <v>1006.72875</v>
      </c>
    </row>
    <row r="8" spans="1:15" s="8" customFormat="1" ht="24">
      <c r="A8" s="5" t="s">
        <v>50</v>
      </c>
      <c r="B8" s="5" t="s">
        <v>49</v>
      </c>
      <c r="C8" s="6"/>
      <c r="D8" s="6">
        <f t="shared" si="0"/>
        <v>120</v>
      </c>
      <c r="E8" s="6">
        <v>38</v>
      </c>
      <c r="F8" s="7">
        <v>1.83375</v>
      </c>
      <c r="G8" s="7">
        <f t="shared" si="1"/>
        <v>220.05</v>
      </c>
      <c r="H8" s="6">
        <f>515+3*24+48+19</f>
        <v>654</v>
      </c>
      <c r="I8" s="6">
        <v>120</v>
      </c>
      <c r="J8" s="6"/>
      <c r="K8" s="9">
        <f t="shared" si="2"/>
        <v>0</v>
      </c>
      <c r="L8" s="9">
        <f t="shared" si="3"/>
        <v>0</v>
      </c>
      <c r="M8" s="6">
        <v>38</v>
      </c>
      <c r="N8" s="6">
        <f t="shared" si="4"/>
        <v>572</v>
      </c>
      <c r="O8" s="9">
        <f t="shared" si="5"/>
        <v>1048.905</v>
      </c>
    </row>
    <row r="9" spans="1:15" s="8" customFormat="1" ht="24">
      <c r="A9" s="5" t="s">
        <v>52</v>
      </c>
      <c r="B9" s="5" t="s">
        <v>51</v>
      </c>
      <c r="C9" s="6"/>
      <c r="D9" s="6">
        <f t="shared" si="0"/>
        <v>0</v>
      </c>
      <c r="E9" s="6">
        <v>38</v>
      </c>
      <c r="F9" s="7">
        <v>1.6208333333333333</v>
      </c>
      <c r="G9" s="7">
        <f t="shared" si="1"/>
        <v>0</v>
      </c>
      <c r="H9" s="6">
        <f>515+3*24+48+20</f>
        <v>655</v>
      </c>
      <c r="I9" s="6"/>
      <c r="J9" s="6"/>
      <c r="K9" s="9">
        <f t="shared" si="2"/>
        <v>0</v>
      </c>
      <c r="L9" s="9">
        <f t="shared" si="3"/>
        <v>0</v>
      </c>
      <c r="M9" s="6">
        <v>85</v>
      </c>
      <c r="N9" s="6">
        <f t="shared" si="4"/>
        <v>740</v>
      </c>
      <c r="O9" s="9">
        <f t="shared" si="5"/>
        <v>1199.4166666666667</v>
      </c>
    </row>
    <row r="10" spans="1:15" ht="24">
      <c r="A10" s="5" t="s">
        <v>5</v>
      </c>
      <c r="B10" s="5" t="s">
        <v>16</v>
      </c>
      <c r="C10" s="6">
        <v>580</v>
      </c>
      <c r="D10" s="6">
        <f t="shared" ref="D10:D18" si="6">C10+I10</f>
        <v>580</v>
      </c>
      <c r="E10" s="6">
        <v>58</v>
      </c>
      <c r="F10" s="7">
        <v>9.3984000000000005</v>
      </c>
      <c r="G10" s="7">
        <f>F10*D10</f>
        <v>5451.0720000000001</v>
      </c>
      <c r="H10" s="6">
        <f>515+12*3+15</f>
        <v>566</v>
      </c>
      <c r="I10" s="6"/>
      <c r="J10" s="6">
        <v>14</v>
      </c>
      <c r="K10" s="9">
        <f>J10*F10</f>
        <v>131.57760000000002</v>
      </c>
      <c r="L10" s="9">
        <f t="shared" si="3"/>
        <v>812</v>
      </c>
      <c r="M10" s="6"/>
      <c r="N10" s="6">
        <f t="shared" si="4"/>
        <v>0</v>
      </c>
      <c r="O10" s="9">
        <f t="shared" si="5"/>
        <v>0</v>
      </c>
    </row>
    <row r="11" spans="1:15" ht="24">
      <c r="A11" s="5" t="s">
        <v>1</v>
      </c>
      <c r="B11" s="5" t="s">
        <v>18</v>
      </c>
      <c r="C11" s="6">
        <v>557</v>
      </c>
      <c r="D11" s="6">
        <f t="shared" si="0"/>
        <v>617</v>
      </c>
      <c r="E11" s="6">
        <v>58</v>
      </c>
      <c r="F11" s="7">
        <v>11.889799999999999</v>
      </c>
      <c r="G11" s="7">
        <f t="shared" si="1"/>
        <v>7336.0065999999997</v>
      </c>
      <c r="H11" s="6">
        <f>515+12*6+12-4</f>
        <v>595</v>
      </c>
      <c r="I11" s="6">
        <v>60</v>
      </c>
      <c r="J11" s="6">
        <v>22</v>
      </c>
      <c r="K11" s="9">
        <f t="shared" si="2"/>
        <v>261.57560000000001</v>
      </c>
      <c r="L11" s="9">
        <f t="shared" si="3"/>
        <v>1276</v>
      </c>
      <c r="M11" s="6"/>
      <c r="N11" s="6">
        <f t="shared" si="4"/>
        <v>0</v>
      </c>
      <c r="O11" s="9">
        <f t="shared" si="5"/>
        <v>0</v>
      </c>
    </row>
    <row r="12" spans="1:15" ht="24">
      <c r="A12" s="5" t="s">
        <v>4</v>
      </c>
      <c r="B12" s="5" t="s">
        <v>21</v>
      </c>
      <c r="C12" s="6">
        <v>545</v>
      </c>
      <c r="D12" s="6">
        <f t="shared" si="0"/>
        <v>605</v>
      </c>
      <c r="E12" s="6">
        <v>58</v>
      </c>
      <c r="F12" s="7">
        <v>12.3561</v>
      </c>
      <c r="G12" s="7">
        <f t="shared" si="1"/>
        <v>7475.4404999999997</v>
      </c>
      <c r="H12" s="6">
        <f>515+5*12-4</f>
        <v>571</v>
      </c>
      <c r="I12" s="6">
        <v>60</v>
      </c>
      <c r="J12" s="6">
        <v>26</v>
      </c>
      <c r="K12" s="9">
        <f t="shared" si="2"/>
        <v>321.2586</v>
      </c>
      <c r="L12" s="9">
        <f t="shared" si="3"/>
        <v>1508</v>
      </c>
      <c r="M12" s="6"/>
      <c r="N12" s="6">
        <f t="shared" si="4"/>
        <v>-8</v>
      </c>
      <c r="O12" s="9">
        <f t="shared" si="5"/>
        <v>-98.848799999999997</v>
      </c>
    </row>
    <row r="13" spans="1:15" ht="24">
      <c r="A13" s="5" t="s">
        <v>2</v>
      </c>
      <c r="B13" s="5" t="s">
        <v>17</v>
      </c>
      <c r="C13" s="6">
        <v>565</v>
      </c>
      <c r="D13" s="6">
        <f t="shared" si="0"/>
        <v>625</v>
      </c>
      <c r="E13" s="6">
        <v>68</v>
      </c>
      <c r="F13" s="7">
        <v>15.1182</v>
      </c>
      <c r="G13" s="7">
        <f t="shared" si="1"/>
        <v>9448.875</v>
      </c>
      <c r="H13" s="6">
        <f>515+12*6+8</f>
        <v>595</v>
      </c>
      <c r="I13" s="6">
        <v>60</v>
      </c>
      <c r="J13" s="6">
        <v>28</v>
      </c>
      <c r="K13" s="9">
        <f t="shared" si="2"/>
        <v>423.30959999999999</v>
      </c>
      <c r="L13" s="9">
        <f t="shared" si="3"/>
        <v>1904</v>
      </c>
      <c r="M13" s="6"/>
      <c r="N13" s="6">
        <f t="shared" si="4"/>
        <v>-2</v>
      </c>
      <c r="O13" s="9">
        <f t="shared" si="5"/>
        <v>-30.2364</v>
      </c>
    </row>
    <row r="14" spans="1:15" ht="24">
      <c r="A14" s="5" t="s">
        <v>3</v>
      </c>
      <c r="B14" s="5" t="s">
        <v>20</v>
      </c>
      <c r="C14" s="6">
        <v>563</v>
      </c>
      <c r="D14" s="6">
        <f t="shared" si="0"/>
        <v>623</v>
      </c>
      <c r="E14" s="6">
        <v>108</v>
      </c>
      <c r="F14" s="7">
        <v>38.222000000000001</v>
      </c>
      <c r="G14" s="7">
        <f t="shared" si="1"/>
        <v>23812.306</v>
      </c>
      <c r="H14" s="6">
        <f>515+60+9</f>
        <v>584</v>
      </c>
      <c r="I14" s="6">
        <v>60</v>
      </c>
      <c r="J14" s="6">
        <v>30</v>
      </c>
      <c r="K14" s="9">
        <f t="shared" si="2"/>
        <v>1146.6600000000001</v>
      </c>
      <c r="L14" s="9">
        <f t="shared" si="3"/>
        <v>3240</v>
      </c>
      <c r="M14" s="6"/>
      <c r="N14" s="6">
        <f t="shared" si="4"/>
        <v>-9</v>
      </c>
      <c r="O14" s="9">
        <f t="shared" si="5"/>
        <v>-343.99799999999999</v>
      </c>
    </row>
    <row r="15" spans="1:15" ht="24">
      <c r="A15" s="5" t="s">
        <v>10</v>
      </c>
      <c r="B15" s="5" t="s">
        <v>15</v>
      </c>
      <c r="C15" s="6">
        <v>891</v>
      </c>
      <c r="D15" s="6">
        <f t="shared" si="0"/>
        <v>891</v>
      </c>
      <c r="E15" s="6">
        <v>68</v>
      </c>
      <c r="F15" s="7">
        <v>9.4</v>
      </c>
      <c r="G15" s="7">
        <f t="shared" si="1"/>
        <v>8375.4</v>
      </c>
      <c r="H15" s="6">
        <f>515+24+24+11</f>
        <v>574</v>
      </c>
      <c r="I15" s="6"/>
      <c r="J15" s="6">
        <v>37</v>
      </c>
      <c r="K15" s="9">
        <f t="shared" si="2"/>
        <v>347.8</v>
      </c>
      <c r="L15" s="9">
        <f t="shared" si="3"/>
        <v>2516</v>
      </c>
      <c r="M15" s="6">
        <v>280</v>
      </c>
      <c r="N15" s="6">
        <f t="shared" si="4"/>
        <v>0</v>
      </c>
      <c r="O15" s="9">
        <f t="shared" si="5"/>
        <v>0</v>
      </c>
    </row>
    <row r="16" spans="1:15" ht="24">
      <c r="A16" s="5" t="s">
        <v>0</v>
      </c>
      <c r="B16" s="5" t="s">
        <v>19</v>
      </c>
      <c r="C16" s="6">
        <v>567</v>
      </c>
      <c r="D16" s="6">
        <f t="shared" si="0"/>
        <v>567</v>
      </c>
      <c r="E16" s="6">
        <v>50</v>
      </c>
      <c r="F16" s="7">
        <v>2.9247000000000001</v>
      </c>
      <c r="G16" s="7">
        <f t="shared" si="1"/>
        <v>1658.3049000000001</v>
      </c>
      <c r="H16" s="6">
        <v>0</v>
      </c>
      <c r="I16" s="6"/>
      <c r="J16" s="6">
        <v>46</v>
      </c>
      <c r="K16" s="9">
        <f t="shared" si="2"/>
        <v>134.53620000000001</v>
      </c>
      <c r="L16" s="9">
        <f>J16*E16</f>
        <v>2300</v>
      </c>
      <c r="M16" s="6">
        <v>520</v>
      </c>
      <c r="N16" s="6">
        <f>(M16+J16+H16)-D16</f>
        <v>-1</v>
      </c>
      <c r="O16" s="9">
        <f t="shared" si="5"/>
        <v>-2.9247000000000001</v>
      </c>
    </row>
    <row r="17" spans="1:15" s="8" customFormat="1" ht="24">
      <c r="A17" s="5" t="s">
        <v>38</v>
      </c>
      <c r="B17" s="5" t="s">
        <v>37</v>
      </c>
      <c r="C17" s="6"/>
      <c r="D17" s="6">
        <f t="shared" si="0"/>
        <v>1200</v>
      </c>
      <c r="E17" s="6">
        <v>50</v>
      </c>
      <c r="F17" s="7">
        <v>4.6500000000000004</v>
      </c>
      <c r="G17" s="7">
        <f t="shared" si="1"/>
        <v>5580</v>
      </c>
      <c r="H17" s="6">
        <f>515+25*24+44</f>
        <v>1159</v>
      </c>
      <c r="I17" s="6">
        <v>1200</v>
      </c>
      <c r="J17" s="6">
        <f>87-46</f>
        <v>41</v>
      </c>
      <c r="K17" s="9">
        <f t="shared" si="2"/>
        <v>190.65</v>
      </c>
      <c r="L17" s="9">
        <f t="shared" ref="L17:L23" si="7">J17*E17</f>
        <v>2050</v>
      </c>
      <c r="M17" s="6"/>
      <c r="N17" s="6">
        <f t="shared" ref="N17:N23" si="8">(M17+J17+H17)-D17</f>
        <v>0</v>
      </c>
      <c r="O17" s="9">
        <f t="shared" si="5"/>
        <v>0</v>
      </c>
    </row>
    <row r="18" spans="1:15" ht="24">
      <c r="A18" s="5" t="s">
        <v>6</v>
      </c>
      <c r="B18" s="5" t="s">
        <v>11</v>
      </c>
      <c r="C18" s="6">
        <v>366</v>
      </c>
      <c r="D18" s="6">
        <f t="shared" si="6"/>
        <v>366</v>
      </c>
      <c r="E18" s="6"/>
      <c r="F18" s="7">
        <v>15.04</v>
      </c>
      <c r="G18" s="7">
        <f t="shared" si="1"/>
        <v>5504.6399999999994</v>
      </c>
      <c r="H18" s="6">
        <v>366</v>
      </c>
      <c r="I18" s="6"/>
      <c r="J18" s="6"/>
      <c r="K18" s="9">
        <f t="shared" si="2"/>
        <v>0</v>
      </c>
      <c r="L18" s="9">
        <f t="shared" si="7"/>
        <v>0</v>
      </c>
      <c r="M18" s="6"/>
      <c r="N18" s="6">
        <f t="shared" si="8"/>
        <v>0</v>
      </c>
      <c r="O18" s="9">
        <f t="shared" si="5"/>
        <v>0</v>
      </c>
    </row>
    <row r="19" spans="1:15" ht="24">
      <c r="A19" s="5" t="s">
        <v>7</v>
      </c>
      <c r="B19" s="5" t="s">
        <v>12</v>
      </c>
      <c r="C19" s="6">
        <v>288</v>
      </c>
      <c r="D19" s="6">
        <f t="shared" si="0"/>
        <v>288</v>
      </c>
      <c r="E19" s="6"/>
      <c r="F19" s="7">
        <v>15.04</v>
      </c>
      <c r="G19" s="7">
        <f t="shared" si="1"/>
        <v>4331.5199999999995</v>
      </c>
      <c r="H19" s="6">
        <v>288</v>
      </c>
      <c r="I19" s="6"/>
      <c r="J19" s="6"/>
      <c r="K19" s="9">
        <f t="shared" si="2"/>
        <v>0</v>
      </c>
      <c r="L19" s="9">
        <f t="shared" si="7"/>
        <v>0</v>
      </c>
      <c r="M19" s="6"/>
      <c r="N19" s="6">
        <f t="shared" si="8"/>
        <v>0</v>
      </c>
      <c r="O19" s="9">
        <f t="shared" si="5"/>
        <v>0</v>
      </c>
    </row>
    <row r="20" spans="1:15" ht="36">
      <c r="A20" s="5" t="s">
        <v>8</v>
      </c>
      <c r="B20" s="5" t="s">
        <v>13</v>
      </c>
      <c r="C20" s="6">
        <v>521</v>
      </c>
      <c r="D20" s="6">
        <f t="shared" si="0"/>
        <v>641</v>
      </c>
      <c r="E20" s="6">
        <v>138</v>
      </c>
      <c r="F20" s="7">
        <v>21.24</v>
      </c>
      <c r="G20" s="7">
        <f t="shared" si="1"/>
        <v>13614.839999999998</v>
      </c>
      <c r="H20" s="6">
        <f>515+5*12+3</f>
        <v>578</v>
      </c>
      <c r="I20" s="6">
        <v>120</v>
      </c>
      <c r="J20" s="6">
        <v>63</v>
      </c>
      <c r="K20" s="9">
        <f t="shared" si="2"/>
        <v>1338.12</v>
      </c>
      <c r="L20" s="9">
        <f t="shared" si="7"/>
        <v>8694</v>
      </c>
      <c r="M20" s="6"/>
      <c r="N20" s="6">
        <f t="shared" si="8"/>
        <v>0</v>
      </c>
      <c r="O20" s="9">
        <f t="shared" si="5"/>
        <v>0</v>
      </c>
    </row>
    <row r="21" spans="1:15" ht="24">
      <c r="A21" s="5" t="s">
        <v>9</v>
      </c>
      <c r="B21" s="5" t="s">
        <v>14</v>
      </c>
      <c r="C21" s="6">
        <v>550</v>
      </c>
      <c r="D21" s="6">
        <f t="shared" si="0"/>
        <v>670</v>
      </c>
      <c r="E21" s="6">
        <v>138</v>
      </c>
      <c r="F21" s="7">
        <v>21.24</v>
      </c>
      <c r="G21" s="7">
        <f t="shared" si="1"/>
        <v>14230.8</v>
      </c>
      <c r="H21" s="6">
        <f>515+6*12+4</f>
        <v>591</v>
      </c>
      <c r="I21" s="6">
        <v>120</v>
      </c>
      <c r="J21" s="6">
        <v>79</v>
      </c>
      <c r="K21" s="9">
        <f t="shared" si="2"/>
        <v>1677.9599999999998</v>
      </c>
      <c r="L21" s="9">
        <f t="shared" si="7"/>
        <v>10902</v>
      </c>
      <c r="M21" s="6"/>
      <c r="N21" s="6">
        <f t="shared" si="8"/>
        <v>0</v>
      </c>
      <c r="O21" s="9">
        <f t="shared" ref="O21:O23" si="9">N21*F21</f>
        <v>0</v>
      </c>
    </row>
    <row r="22" spans="1:15" s="8" customFormat="1" ht="24">
      <c r="A22" s="5" t="s">
        <v>54</v>
      </c>
      <c r="B22" s="5" t="s">
        <v>53</v>
      </c>
      <c r="C22" s="6"/>
      <c r="D22" s="6">
        <f t="shared" si="0"/>
        <v>300</v>
      </c>
      <c r="E22" s="6">
        <v>38</v>
      </c>
      <c r="F22" s="7">
        <v>5</v>
      </c>
      <c r="G22" s="7">
        <f t="shared" si="1"/>
        <v>1500</v>
      </c>
      <c r="H22" s="6">
        <f>515+34</f>
        <v>549</v>
      </c>
      <c r="I22" s="6">
        <v>300</v>
      </c>
      <c r="J22" s="6"/>
      <c r="K22" s="9">
        <f t="shared" si="2"/>
        <v>0</v>
      </c>
      <c r="L22" s="9">
        <f>J22*E22</f>
        <v>0</v>
      </c>
      <c r="M22" s="6">
        <v>43</v>
      </c>
      <c r="N22" s="6">
        <f t="shared" si="8"/>
        <v>292</v>
      </c>
      <c r="O22" s="9">
        <f t="shared" si="9"/>
        <v>1460</v>
      </c>
    </row>
    <row r="23" spans="1:15" s="8" customFormat="1" ht="24">
      <c r="A23" s="5" t="s">
        <v>55</v>
      </c>
      <c r="B23" s="5" t="s">
        <v>56</v>
      </c>
      <c r="C23" s="6"/>
      <c r="D23" s="6">
        <f t="shared" si="0"/>
        <v>360</v>
      </c>
      <c r="E23" s="6">
        <v>58</v>
      </c>
      <c r="F23" s="7">
        <v>2.74</v>
      </c>
      <c r="G23" s="7">
        <f t="shared" si="1"/>
        <v>986.40000000000009</v>
      </c>
      <c r="H23" s="6">
        <f>515+4*36+3</f>
        <v>662</v>
      </c>
      <c r="I23" s="6">
        <v>360</v>
      </c>
      <c r="J23" s="6"/>
      <c r="K23" s="9">
        <f t="shared" si="2"/>
        <v>0</v>
      </c>
      <c r="L23" s="9">
        <f t="shared" si="7"/>
        <v>0</v>
      </c>
      <c r="M23" s="6">
        <v>28</v>
      </c>
      <c r="N23" s="6">
        <f t="shared" si="8"/>
        <v>330</v>
      </c>
      <c r="O23" s="9">
        <f t="shared" si="9"/>
        <v>904.2</v>
      </c>
    </row>
    <row r="24" spans="1:15" s="8" customFormat="1">
      <c r="A24" s="5"/>
      <c r="B24" s="5"/>
      <c r="C24" s="6"/>
      <c r="D24" s="6"/>
      <c r="E24" s="6"/>
      <c r="F24" s="7"/>
      <c r="G24" s="7"/>
      <c r="H24" s="6"/>
      <c r="I24" s="6"/>
      <c r="J24" s="6"/>
      <c r="K24" s="9"/>
      <c r="L24" s="9"/>
      <c r="M24" s="6"/>
      <c r="N24" s="6"/>
      <c r="O24" s="9"/>
    </row>
  </sheetData>
  <phoneticPr fontId="22" type="noConversion"/>
  <pageMargins left="0.55118110236220474" right="0.55118110236220474" top="0.59055118110236227" bottom="0.59055118110236227" header="0.51181102362204722" footer="0.31496062992125984"/>
  <pageSetup paperSize="9" scale="83" orientation="portrait" r:id="rId1"/>
  <headerFooter>
    <oddFooter>&amp;L部门经理与酒水管理员:&amp;C财务及成本部:&amp;R&amp;P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盘点表</vt:lpstr>
      <vt:lpstr>盘点表!Print_Titles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Extension Report</dc:title>
  <dc:creator>Zhang, Peter</dc:creator>
  <cp:lastModifiedBy>Sun, Emily</cp:lastModifiedBy>
  <cp:lastPrinted>2026-04-26T13:19:36Z</cp:lastPrinted>
  <dcterms:created xsi:type="dcterms:W3CDTF">2026-03-27T08:24:24Z</dcterms:created>
  <dcterms:modified xsi:type="dcterms:W3CDTF">2026-04-27T06:47:42Z</dcterms:modified>
</cp:coreProperties>
</file>